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\Desktop\XIN XIANG 45K(EW)\"/>
    </mc:Choice>
  </mc:AlternateContent>
  <bookViews>
    <workbookView xWindow="-90" yWindow="-90" windowWidth="17490" windowHeight="11010"/>
  </bookViews>
  <sheets>
    <sheet name="Thong so chung" sheetId="6" r:id="rId1"/>
    <sheet name="BB Kiem tra ham" sheetId="5" r:id="rId2"/>
    <sheet name="BB Ket toan" sheetId="4" r:id="rId3"/>
    <sheet name="BB Giao nhan" sheetId="1" r:id="rId4"/>
    <sheet name="Seal sà lan" sheetId="7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__________________\0" localSheetId="2">'[1]PNT-QUOT-#3'!#REF!</definedName>
    <definedName name="_____________________\0">'[1]PNT-QUOT-#3'!#REF!</definedName>
    <definedName name="_____________________\d" localSheetId="2">'[2]__-BLDG'!#REF!</definedName>
    <definedName name="_____________________\d">'[2]__-BLDG'!#REF!</definedName>
    <definedName name="_____________________\e" localSheetId="2">'[2]__-BLDG'!#REF!</definedName>
    <definedName name="_____________________\e">'[2]__-BLDG'!#REF!</definedName>
    <definedName name="_____________________\f" localSheetId="2">'[2]__-BLDG'!#REF!</definedName>
    <definedName name="_____________________\f">'[2]__-BLDG'!#REF!</definedName>
    <definedName name="_____________________\g" localSheetId="2">'[2]__-BLDG'!#REF!</definedName>
    <definedName name="_____________________\g">'[2]__-BLDG'!#REF!</definedName>
    <definedName name="_____________________\h" localSheetId="2">'[2]__-BLDG'!#REF!</definedName>
    <definedName name="_____________________\h">'[2]__-BLDG'!#REF!</definedName>
    <definedName name="_____________________\i" localSheetId="2">'[2]__-BLDG'!#REF!</definedName>
    <definedName name="_____________________\i">'[2]__-BLDG'!#REF!</definedName>
    <definedName name="_____________________\j" localSheetId="2">'[2]__-BLDG'!#REF!</definedName>
    <definedName name="_____________________\j">'[2]__-BLDG'!#REF!</definedName>
    <definedName name="_____________________\k" localSheetId="2">'[2]__-BLDG'!#REF!</definedName>
    <definedName name="_____________________\k">'[2]__-BLDG'!#REF!</definedName>
    <definedName name="_____________________\l" localSheetId="2">'[2]__-BLDG'!#REF!</definedName>
    <definedName name="_____________________\l">'[2]__-BLDG'!#REF!</definedName>
    <definedName name="_____________________\m" localSheetId="2">'[2]__-BLDG'!#REF!</definedName>
    <definedName name="_____________________\m">'[2]__-BLDG'!#REF!</definedName>
    <definedName name="_____________________\n" localSheetId="2">'[2]__-BLDG'!#REF!</definedName>
    <definedName name="_____________________\n">'[2]__-BLDG'!#REF!</definedName>
    <definedName name="_____________________\o" localSheetId="2">'[2]__-BLDG'!#REF!</definedName>
    <definedName name="_____________________\o">'[2]__-BLDG'!#REF!</definedName>
    <definedName name="_____________________\z" localSheetId="2">'[1]COAT&amp;WRAP-QIOT-#3'!#REF!</definedName>
    <definedName name="_____________________\z">'[1]COAT&amp;WRAP-QIOT-#3'!#REF!</definedName>
    <definedName name="_1">#N/A</definedName>
    <definedName name="_1000A01">#N/A</definedName>
    <definedName name="_2">#N/A</definedName>
    <definedName name="_A65700" localSheetId="2">'[3]MTO REV.2(ARMOR)'!#REF!</definedName>
    <definedName name="_A65700">'[3]MTO REV.2(ARMOR)'!#REF!</definedName>
    <definedName name="_A65800" localSheetId="2">'[3]MTO REV.2(ARMOR)'!#REF!</definedName>
    <definedName name="_A65800">'[3]MTO REV.2(ARMOR)'!#REF!</definedName>
    <definedName name="_A66000" localSheetId="2">'[3]MTO REV.2(ARMOR)'!#REF!</definedName>
    <definedName name="_A66000">'[3]MTO REV.2(ARMOR)'!#REF!</definedName>
    <definedName name="_A67000" localSheetId="2">'[3]MTO REV.2(ARMOR)'!#REF!</definedName>
    <definedName name="_A67000">'[3]MTO REV.2(ARMOR)'!#REF!</definedName>
    <definedName name="_A68000" localSheetId="2">'[3]MTO REV.2(ARMOR)'!#REF!</definedName>
    <definedName name="_A68000">'[3]MTO REV.2(ARMOR)'!#REF!</definedName>
    <definedName name="_A70000" localSheetId="2">'[3]MTO REV.2(ARMOR)'!#REF!</definedName>
    <definedName name="_A70000">'[3]MTO REV.2(ARMOR)'!#REF!</definedName>
    <definedName name="_A700002" localSheetId="2">'[3]MTO REV.2(ARMOR)'!#REF!</definedName>
    <definedName name="_A700002">'[3]MTO REV.2(ARMOR)'!#REF!</definedName>
    <definedName name="_A75000" localSheetId="2">'[3]MTO REV.2(ARMOR)'!#REF!</definedName>
    <definedName name="_A75000">'[3]MTO REV.2(ARMOR)'!#REF!</definedName>
    <definedName name="_A85000" localSheetId="2">'[3]MTO REV.2(ARMOR)'!#REF!</definedName>
    <definedName name="_A85000">'[3]MTO REV.2(ARMOR)'!#REF!</definedName>
    <definedName name="_CON1" localSheetId="2">#REF!</definedName>
    <definedName name="_CON1">#REF!</definedName>
    <definedName name="_CON2" localSheetId="2">#REF!</definedName>
    <definedName name="_CON2">#REF!</definedName>
    <definedName name="_Key1" localSheetId="2" hidden="1">#REF!</definedName>
    <definedName name="_Key1" hidden="1">#REF!</definedName>
    <definedName name="_Key2" localSheetId="2" hidden="1">#REF!</definedName>
    <definedName name="_Key2" hidden="1">#REF!</definedName>
    <definedName name="_Key3" localSheetId="2" hidden="1">#REF!</definedName>
    <definedName name="_Key3" hidden="1">#REF!</definedName>
    <definedName name="_NET2" localSheetId="2">#REF!</definedName>
    <definedName name="_NET2">#REF!</definedName>
    <definedName name="_Order1" hidden="1">255</definedName>
    <definedName name="_Order2" hidden="1">255</definedName>
    <definedName name="_Sort" localSheetId="2" hidden="1">#REF!</definedName>
    <definedName name="_Sort" hidden="1">#REF!</definedName>
    <definedName name="A" localSheetId="2">#REF!</definedName>
    <definedName name="A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2">#REF!</definedName>
    <definedName name="AA">#REF!</definedName>
    <definedName name="AAA" localSheetId="2">'[4]MTL$-INTER'!#REF!</definedName>
    <definedName name="AAA">'[4]MTL$-INTER'!#REF!</definedName>
    <definedName name="All_Item" localSheetId="2">#REF!</definedName>
    <definedName name="All_Item">#REF!</definedName>
    <definedName name="ALPIN">#N/A</definedName>
    <definedName name="ALPJYOU">#N/A</definedName>
    <definedName name="ALPTOI">#N/A</definedName>
    <definedName name="ăttwetweSDG64564" localSheetId="2">'[3]MTO REV.2(ARMOR)'!#REF!</definedName>
    <definedName name="ăttwetweSDG64564">'[3]MTO REV.2(ARMOR)'!#REF!</definedName>
    <definedName name="B" localSheetId="2">'[1]PNT-QUOT-#3'!#REF!</definedName>
    <definedName name="B">'[1]PNT-QUOT-#3'!#REF!</definedName>
    <definedName name="BB" localSheetId="2">#REF!</definedName>
    <definedName name="BB">#REF!</definedName>
    <definedName name="BNGHG" localSheetId="2">'[2]__-BLDG'!#REF!</definedName>
    <definedName name="BNGHG">'[2]__-BLDG'!#REF!</definedName>
    <definedName name="BOQ" localSheetId="2">#REF!</definedName>
    <definedName name="BOQ">#REF!</definedName>
    <definedName name="BVCISUMMARY" localSheetId="2">#REF!</definedName>
    <definedName name="BVCISUMMARY">#REF!</definedName>
    <definedName name="CABLE2">'[5]MTO REV.0'!$A$1:$Q$570</definedName>
    <definedName name="Category_All" localSheetId="2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OAT" localSheetId="2">'[1]PNT-QUOT-#3'!#REF!</definedName>
    <definedName name="COAT">'[1]PNT-QUOT-#3'!#REF!</definedName>
    <definedName name="COMMON" localSheetId="2">#REF!</definedName>
    <definedName name="COMMON">#REF!</definedName>
    <definedName name="CON_EQP_COS" localSheetId="2">#REF!</definedName>
    <definedName name="CON_EQP_COS">#REF!</definedName>
    <definedName name="CON_EQP_COST" localSheetId="2">#REF!</definedName>
    <definedName name="CON_EQP_COST">#REF!</definedName>
    <definedName name="CONST_EQ" localSheetId="2">#REF!</definedName>
    <definedName name="CONST_EQ">#REF!</definedName>
    <definedName name="COVER" localSheetId="2">#REF!</definedName>
    <definedName name="COVER">#REF!</definedName>
    <definedName name="_xlnm.Criteria" localSheetId="2">#REF!</definedName>
    <definedName name="_xlnm.Criteria">#REF!</definedName>
    <definedName name="CRITINST" localSheetId="2">#REF!</definedName>
    <definedName name="CRITINST">#REF!</definedName>
    <definedName name="CRITPURC" localSheetId="2">#REF!</definedName>
    <definedName name="CRITPURC">#REF!</definedName>
    <definedName name="CS_10" localSheetId="2">#REF!</definedName>
    <definedName name="CS_10">#REF!</definedName>
    <definedName name="CS_100" localSheetId="2">#REF!</definedName>
    <definedName name="CS_100">#REF!</definedName>
    <definedName name="CS_10S" localSheetId="2">#REF!</definedName>
    <definedName name="CS_10S">#REF!</definedName>
    <definedName name="CS_120" localSheetId="2">#REF!</definedName>
    <definedName name="CS_120">#REF!</definedName>
    <definedName name="CS_140" localSheetId="2">#REF!</definedName>
    <definedName name="CS_140">#REF!</definedName>
    <definedName name="CS_160" localSheetId="2">#REF!</definedName>
    <definedName name="CS_160">#REF!</definedName>
    <definedName name="CS_20" localSheetId="2">#REF!</definedName>
    <definedName name="CS_20">#REF!</definedName>
    <definedName name="CS_30" localSheetId="2">#REF!</definedName>
    <definedName name="CS_30">#REF!</definedName>
    <definedName name="CS_40" localSheetId="2">#REF!</definedName>
    <definedName name="CS_40">#REF!</definedName>
    <definedName name="CS_40S" localSheetId="2">#REF!</definedName>
    <definedName name="CS_40S">#REF!</definedName>
    <definedName name="CS_5S" localSheetId="2">#REF!</definedName>
    <definedName name="CS_5S">#REF!</definedName>
    <definedName name="CS_60" localSheetId="2">#REF!</definedName>
    <definedName name="CS_60">#REF!</definedName>
    <definedName name="CS_80" localSheetId="2">#REF!</definedName>
    <definedName name="CS_80">#REF!</definedName>
    <definedName name="CS_80S" localSheetId="2">#REF!</definedName>
    <definedName name="CS_80S">#REF!</definedName>
    <definedName name="CS_STD" localSheetId="2">#REF!</definedName>
    <definedName name="CS_STD">#REF!</definedName>
    <definedName name="CS_XS" localSheetId="2">#REF!</definedName>
    <definedName name="CS_XS">#REF!</definedName>
    <definedName name="CS_XXS" localSheetId="2">#REF!</definedName>
    <definedName name="CS_XXS">#REF!</definedName>
    <definedName name="CURRENCY" localSheetId="2">#REF!</definedName>
    <definedName name="CURRENCY">#REF!</definedName>
    <definedName name="D_7101A_B" localSheetId="2">#REF!</definedName>
    <definedName name="D_7101A_B">#REF!</definedName>
    <definedName name="_xlnm.Database" localSheetId="2" hidden="1">#REF!</definedName>
    <definedName name="_xlnm.Database" hidden="1">#REF!</definedName>
    <definedName name="DataFilter" localSheetId="2">[6]!DataFilter</definedName>
    <definedName name="DataFilter" localSheetId="4">[6]!DataFilter</definedName>
    <definedName name="DataFilter">[6]!DataFilter</definedName>
    <definedName name="DataSort" localSheetId="2">[6]!DataSort</definedName>
    <definedName name="DataSort" localSheetId="4">[6]!DataSort</definedName>
    <definedName name="DataSort">[6]!DataSort</definedName>
    <definedName name="DD" localSheetId="2">'[2]__-BLDG'!#REF!</definedName>
    <definedName name="DD">'[2]__-BLDG'!#REF!</definedName>
    <definedName name="DSUMDATA" localSheetId="2">#REF!</definedName>
    <definedName name="DSUMDATA">#REF!</definedName>
    <definedName name="End_1" localSheetId="2">#REF!</definedName>
    <definedName name="End_1">#REF!</definedName>
    <definedName name="End_10" localSheetId="2">#REF!</definedName>
    <definedName name="End_10">#REF!</definedName>
    <definedName name="End_11" localSheetId="2">#REF!</definedName>
    <definedName name="End_11">#REF!</definedName>
    <definedName name="End_12" localSheetId="2">#REF!</definedName>
    <definedName name="End_12">#REF!</definedName>
    <definedName name="End_13" localSheetId="2">#REF!</definedName>
    <definedName name="End_13">#REF!</definedName>
    <definedName name="End_2" localSheetId="2">#REF!</definedName>
    <definedName name="End_2">#REF!</definedName>
    <definedName name="End_3" localSheetId="2">#REF!</definedName>
    <definedName name="End_3">#REF!</definedName>
    <definedName name="End_4" localSheetId="2">#REF!</definedName>
    <definedName name="End_4">#REF!</definedName>
    <definedName name="End_5" localSheetId="2">#REF!</definedName>
    <definedName name="End_5">#REF!</definedName>
    <definedName name="End_6" localSheetId="2">#REF!</definedName>
    <definedName name="End_6">#REF!</definedName>
    <definedName name="End_7" localSheetId="2">#REF!</definedName>
    <definedName name="End_7">#REF!</definedName>
    <definedName name="End_8" localSheetId="2">#REF!</definedName>
    <definedName name="End_8">#REF!</definedName>
    <definedName name="End_9" localSheetId="2">#REF!</definedName>
    <definedName name="End_9">#REF!</definedName>
    <definedName name="_xlnm.Extract" localSheetId="2">#REF!</definedName>
    <definedName name="_xlnm.Extract">#REF!</definedName>
    <definedName name="FACTOR" localSheetId="2">#REF!</definedName>
    <definedName name="FACTOR">#REF!</definedName>
    <definedName name="FP" localSheetId="2">'[1]COAT&amp;WRAP-QIOT-#3'!#REF!</definedName>
    <definedName name="FP">'[1]COAT&amp;WRAP-QIOT-#3'!#REF!</definedName>
    <definedName name="gfh" localSheetId="2">#REF!</definedName>
    <definedName name="gfh">#REF!</definedName>
    <definedName name="GoBack" localSheetId="2">[6]Sheet1!GoBack</definedName>
    <definedName name="GoBack" localSheetId="4">[6]Sheet1!GoBack</definedName>
    <definedName name="GoBack">[6]Sheet1!GoBack</definedName>
    <definedName name="GPT_GROUNDING_PT" localSheetId="2">'[7]NEW-PANEL'!#REF!</definedName>
    <definedName name="GPT_GROUNDING_PT">'[7]NEW-PANEL'!#REF!</definedName>
    <definedName name="gvfd" localSheetId="2">#REF!</definedName>
    <definedName name="gvfd">#REF!</definedName>
    <definedName name="HOME_MANP" localSheetId="2">#REF!</definedName>
    <definedName name="HOME_MANP">#REF!</definedName>
    <definedName name="HOMEOFFICE_COST" localSheetId="2">#REF!</definedName>
    <definedName name="HOMEOFFICE_COST">#REF!</definedName>
    <definedName name="HTML_CodePage" hidden="1">950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DLAB_COST" localSheetId="2">#REF!</definedName>
    <definedName name="IDLAB_COST">#REF!</definedName>
    <definedName name="IND_LAB" localSheetId="2">#REF!</definedName>
    <definedName name="IND_LAB">#REF!</definedName>
    <definedName name="INDMANP" localSheetId="2">#REF!</definedName>
    <definedName name="INDMANP">#REF!</definedName>
    <definedName name="IO" localSheetId="2">'[1]COAT&amp;WRAP-QIOT-#3'!#REF!</definedName>
    <definedName name="IO">'[1]COAT&amp;WRAP-QIOT-#3'!#REF!</definedName>
    <definedName name="m" hidden="1">{"'Sheet1'!$L$16"}</definedName>
    <definedName name="M10." hidden="1">{"'Sheet1'!$L$16"}</definedName>
    <definedName name="MAJ_CON_EQP" localSheetId="2">#REF!</definedName>
    <definedName name="MAJ_CON_EQP">#REF!</definedName>
    <definedName name="MAT" localSheetId="2">'[1]COAT&amp;WRAP-QIOT-#3'!#REF!</definedName>
    <definedName name="MAT">'[1]COAT&amp;WRAP-QIOT-#3'!#REF!</definedName>
    <definedName name="MF" localSheetId="2">'[1]COAT&amp;WRAP-QIOT-#3'!#REF!</definedName>
    <definedName name="MF">'[1]COAT&amp;WRAP-QIOT-#3'!#REF!</definedName>
    <definedName name="MG_A" localSheetId="2">#REF!</definedName>
    <definedName name="MG_A">#REF!</definedName>
    <definedName name="NET" localSheetId="2">#REF!</definedName>
    <definedName name="NET">#REF!</definedName>
    <definedName name="NET_1" localSheetId="2">#REF!</definedName>
    <definedName name="NET_1">#REF!</definedName>
    <definedName name="NET_ANA" localSheetId="2">#REF!</definedName>
    <definedName name="NET_ANA">#REF!</definedName>
    <definedName name="NET_ANA_1" localSheetId="2">#REF!</definedName>
    <definedName name="NET_ANA_1">#REF!</definedName>
    <definedName name="NET_ANA_2" localSheetId="2">#REF!</definedName>
    <definedName name="NET_ANA_2">#REF!</definedName>
    <definedName name="no" hidden="1">{"'Sheet1'!$L$16"}</definedName>
    <definedName name="OTHER_PANEL" localSheetId="2">'[7]NEW-PANEL'!#REF!</definedName>
    <definedName name="OTHER_PANEL">'[7]NEW-PANEL'!#REF!</definedName>
    <definedName name="P" localSheetId="2">'[1]PNT-QUOT-#3'!#REF!</definedName>
    <definedName name="P">'[1]PNT-QUOT-#3'!#REF!</definedName>
    <definedName name="PEJM" localSheetId="2">'[1]COAT&amp;WRAP-QIOT-#3'!#REF!</definedName>
    <definedName name="PEJM">'[1]COAT&amp;WRAP-QIOT-#3'!#REF!</definedName>
    <definedName name="PF" localSheetId="2">'[1]PNT-QUOT-#3'!#REF!</definedName>
    <definedName name="PF">'[1]PNT-QUOT-#3'!#REF!</definedName>
    <definedName name="PL_指示燈___P.B.___REST_P.B._壓扣開關" localSheetId="2">'[7]NEW-PANEL'!#REF!</definedName>
    <definedName name="PL_指示燈___P.B.___REST_P.B._壓扣開關">'[7]NEW-PANEL'!#REF!</definedName>
    <definedName name="PM">[8]IBASE!$AH$16:$AV$110</definedName>
    <definedName name="PRICE" localSheetId="2">#REF!</definedName>
    <definedName name="PRICE">#REF!</definedName>
    <definedName name="PRICE1" localSheetId="2">#REF!</definedName>
    <definedName name="PRICE1">#REF!</definedName>
    <definedName name="_xlnm.Print_Area" localSheetId="3">'BB Giao nhan'!$A$1:$H$39</definedName>
    <definedName name="_xlnm.Print_Area" localSheetId="2">'BB Ket toan'!$B$1:$K$44</definedName>
    <definedName name="_xlnm.Print_Area" localSheetId="1">'BB Kiem tra ham'!$A$1:$G$38</definedName>
    <definedName name="_xlnm.Print_Area" localSheetId="4">'Seal sà lan'!$B$1:$G$37</definedName>
    <definedName name="_xlnm.Print_Titles">#REF!</definedName>
    <definedName name="Print_Titles_MI" localSheetId="2">#REF!</definedName>
    <definedName name="Print_Titles_MI">#REF!</definedName>
    <definedName name="PRINTA" localSheetId="2">#REF!</definedName>
    <definedName name="PRINTA">#REF!</definedName>
    <definedName name="PRINTB" localSheetId="2">#REF!</definedName>
    <definedName name="PRINTB">#REF!</definedName>
    <definedName name="PRINTC" localSheetId="2">#REF!</definedName>
    <definedName name="PRINTC">#REF!</definedName>
    <definedName name="PROPOSAL" localSheetId="2">#REF!</definedName>
    <definedName name="PROPOSAL">#REF!</definedName>
    <definedName name="RECOUT">#N/A</definedName>
    <definedName name="RFP003A" localSheetId="2">#REF!</definedName>
    <definedName name="RFP003A">#REF!</definedName>
    <definedName name="RFP003B" localSheetId="2">#REF!</definedName>
    <definedName name="RFP003B">#REF!</definedName>
    <definedName name="RFP003C" localSheetId="2">#REF!</definedName>
    <definedName name="RFP003C">#REF!</definedName>
    <definedName name="RFP003D" localSheetId="2">#REF!</definedName>
    <definedName name="RFP003D">#REF!</definedName>
    <definedName name="RFP003E" localSheetId="2">#REF!</definedName>
    <definedName name="RFP003E">#REF!</definedName>
    <definedName name="RFP003F" localSheetId="2">#REF!</definedName>
    <definedName name="RFP003F">#REF!</definedName>
    <definedName name="RT" localSheetId="2">'[1]COAT&amp;WRAP-QIOT-#3'!#REF!</definedName>
    <definedName name="RT">'[1]COAT&amp;WRAP-QIOT-#3'!#REF!</definedName>
    <definedName name="SB">[8]IBASE!$AH$7:$AL$14</definedName>
    <definedName name="SCH" localSheetId="2">#REF!</definedName>
    <definedName name="SCH">#REF!</definedName>
    <definedName name="sgdfzuhy" localSheetId="2">#REF!</definedName>
    <definedName name="sgdfzuhy">#REF!</definedName>
    <definedName name="SHEET_2" localSheetId="2">'[2]__-BLDG'!#REF!</definedName>
    <definedName name="SHEET_2">'[2]__-BLDG'!#REF!</definedName>
    <definedName name="SIZE" localSheetId="2">#REF!</definedName>
    <definedName name="SIZE">#REF!</definedName>
    <definedName name="SORT" localSheetId="2">#REF!</definedName>
    <definedName name="SORT">#REF!</definedName>
    <definedName name="SOXE" localSheetId="2">#REF!</definedName>
    <definedName name="SOXE">#REF!</definedName>
    <definedName name="SP" localSheetId="2">'[1]PNT-QUOT-#3'!#REF!</definedName>
    <definedName name="SP">'[1]PNT-QUOT-#3'!#REF!</definedName>
    <definedName name="SPEC" localSheetId="2">#REF!</definedName>
    <definedName name="SPEC">#REF!</definedName>
    <definedName name="SPECSUMMARY" localSheetId="2">#REF!</definedName>
    <definedName name="SPECSUMMARY">#REF!</definedName>
    <definedName name="Start_1" localSheetId="2">#REF!</definedName>
    <definedName name="Start_1">#REF!</definedName>
    <definedName name="Start_10" localSheetId="2">#REF!</definedName>
    <definedName name="Start_10">#REF!</definedName>
    <definedName name="Start_11" localSheetId="2">#REF!</definedName>
    <definedName name="Start_11">#REF!</definedName>
    <definedName name="Start_12" localSheetId="2">#REF!</definedName>
    <definedName name="Start_12">#REF!</definedName>
    <definedName name="Start_13" localSheetId="2">#REF!</definedName>
    <definedName name="Start_13">#REF!</definedName>
    <definedName name="Start_2" localSheetId="2">#REF!</definedName>
    <definedName name="Start_2">#REF!</definedName>
    <definedName name="Start_3" localSheetId="2">#REF!</definedName>
    <definedName name="Start_3">#REF!</definedName>
    <definedName name="Start_4" localSheetId="2">#REF!</definedName>
    <definedName name="Start_4">#REF!</definedName>
    <definedName name="Start_5" localSheetId="2">#REF!</definedName>
    <definedName name="Start_5">#REF!</definedName>
    <definedName name="Start_6" localSheetId="2">#REF!</definedName>
    <definedName name="Start_6">#REF!</definedName>
    <definedName name="Start_7" localSheetId="2">#REF!</definedName>
    <definedName name="Start_7">#REF!</definedName>
    <definedName name="Start_8" localSheetId="2">#REF!</definedName>
    <definedName name="Start_8">#REF!</definedName>
    <definedName name="Start_9" localSheetId="2">#REF!</definedName>
    <definedName name="Start_9">#REF!</definedName>
    <definedName name="SUMMARY" localSheetId="2">#REF!</definedName>
    <definedName name="SUMMARY">#REF!</definedName>
    <definedName name="TARE" localSheetId="2">#REF!</definedName>
    <definedName name="TARE">#REF!</definedName>
    <definedName name="THI" localSheetId="2">#REF!</definedName>
    <definedName name="THI">#REF!</definedName>
    <definedName name="THK" localSheetId="2">'[1]COAT&amp;WRAP-QIOT-#3'!#REF!</definedName>
    <definedName name="THK">'[1]COAT&amp;WRAP-QIOT-#3'!#REF!</definedName>
    <definedName name="TITAN" localSheetId="2">#REF!</definedName>
    <definedName name="TITAN">#REF!</definedName>
    <definedName name="TPLRP" localSheetId="2">#REF!</definedName>
    <definedName name="TPLRP">#REF!</definedName>
    <definedName name="TRADE2" localSheetId="2">#REF!</definedName>
    <definedName name="TRADE2">#REF!</definedName>
    <definedName name="TRANSFORMER" localSheetId="2">'[7]NEW-PANEL'!#REF!</definedName>
    <definedName name="TRANSFORMER">'[7]NEW-PANEL'!#REF!</definedName>
    <definedName name="TRONG_PT" localSheetId="2">'[7]NEW-PANEL'!#REF!</definedName>
    <definedName name="TRONG_PT">'[7]NEW-PANEL'!#REF!</definedName>
    <definedName name="VARIINST" localSheetId="2">#REF!</definedName>
    <definedName name="VARIINST">#REF!</definedName>
    <definedName name="VARIPURC" localSheetId="2">#REF!</definedName>
    <definedName name="VARIPURC">#REF!</definedName>
    <definedName name="W" localSheetId="2">#REF!</definedName>
    <definedName name="W">#REF!</definedName>
    <definedName name="X" localSheetId="2">#REF!</definedName>
    <definedName name="X">#REF!</definedName>
    <definedName name="ZYX" localSheetId="2">#REF!</definedName>
    <definedName name="ZYX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4" l="1"/>
  <c r="E12" i="7"/>
  <c r="E6" i="7" l="1"/>
  <c r="F22" i="4" l="1"/>
  <c r="F23" i="4"/>
  <c r="F21" i="4"/>
  <c r="E11" i="7"/>
  <c r="E10" i="7"/>
  <c r="E9" i="7"/>
  <c r="E8" i="7"/>
  <c r="E7" i="7"/>
  <c r="G21" i="1"/>
  <c r="D21" i="1"/>
  <c r="C21" i="1"/>
  <c r="A21" i="1"/>
  <c r="E15" i="1"/>
  <c r="E14" i="1"/>
  <c r="E13" i="1"/>
  <c r="E12" i="1"/>
  <c r="G26" i="4"/>
  <c r="G25" i="4"/>
  <c r="K15" i="4"/>
  <c r="J15" i="4"/>
  <c r="J17" i="4" s="1"/>
  <c r="H15" i="4"/>
  <c r="H17" i="4" s="1"/>
  <c r="F15" i="4"/>
  <c r="F17" i="4" s="1"/>
  <c r="B15" i="4"/>
  <c r="K8" i="4"/>
  <c r="K6" i="4"/>
  <c r="K4" i="4"/>
  <c r="E4" i="4"/>
  <c r="B2" i="4"/>
  <c r="C21" i="5"/>
  <c r="A21" i="5"/>
  <c r="D16" i="5"/>
  <c r="D17" i="5"/>
  <c r="D15" i="5"/>
  <c r="D14" i="5"/>
  <c r="D13" i="5"/>
  <c r="D12" i="5"/>
  <c r="D11" i="5"/>
</calcChain>
</file>

<file path=xl/sharedStrings.xml><?xml version="1.0" encoding="utf-8"?>
<sst xmlns="http://schemas.openxmlformats.org/spreadsheetml/2006/main" count="228" uniqueCount="173">
  <si>
    <t xml:space="preserve"> BIÊN BẢN GIAO NHẬN HÀNG HOÁ</t>
  </si>
  <si>
    <t>CARGO DELIVERY MINUTES</t>
  </si>
  <si>
    <r>
      <t xml:space="preserve">Tên sà lan/ </t>
    </r>
    <r>
      <rPr>
        <i/>
        <sz val="11"/>
        <color rgb="FF0070C0"/>
        <rFont val="Times New Roman"/>
        <family val="1"/>
      </rPr>
      <t>Name of barges:</t>
    </r>
  </si>
  <si>
    <r>
      <t xml:space="preserve">Cảng nhận hàng/ </t>
    </r>
    <r>
      <rPr>
        <i/>
        <sz val="11"/>
        <color rgb="FF0070C0"/>
        <rFont val="Times New Roman"/>
        <family val="1"/>
      </rPr>
      <t>Port of loading:</t>
    </r>
  </si>
  <si>
    <r>
      <t>Cảng giao hàng/</t>
    </r>
    <r>
      <rPr>
        <i/>
        <sz val="11"/>
        <color rgb="FF0070C0"/>
        <rFont val="Times New Roman"/>
        <family val="1"/>
      </rPr>
      <t xml:space="preserve"> Port of discharging:</t>
    </r>
  </si>
  <si>
    <r>
      <t xml:space="preserve">Tàu quốc tế/ </t>
    </r>
    <r>
      <rPr>
        <i/>
        <sz val="11"/>
        <color rgb="FF0070C0"/>
        <rFont val="Times New Roman"/>
        <family val="1"/>
      </rPr>
      <t>Name of vessel:</t>
    </r>
  </si>
  <si>
    <r>
      <t xml:space="preserve">Thời gian đến Cảng giao hàng/ </t>
    </r>
    <r>
      <rPr>
        <i/>
        <sz val="11"/>
        <color rgb="FF0070C0"/>
        <rFont val="Times New Roman"/>
        <family val="1"/>
      </rPr>
      <t>Time of arrival:</t>
    </r>
  </si>
  <si>
    <r>
      <t xml:space="preserve">Thời gian rời Cảng giao hàng/  </t>
    </r>
    <r>
      <rPr>
        <i/>
        <sz val="11"/>
        <color rgb="FF0070C0"/>
        <rFont val="Times New Roman"/>
        <family val="1"/>
      </rPr>
      <t>Time of ending:</t>
    </r>
  </si>
  <si>
    <r>
      <t xml:space="preserve">THÔNG TIN HÀNG HÓA
</t>
    </r>
    <r>
      <rPr>
        <b/>
        <i/>
        <sz val="11"/>
        <color rgb="FF0070C0"/>
        <rFont val="Times New Roman"/>
        <family val="1"/>
      </rPr>
      <t>COMMODITY INFORMATION</t>
    </r>
  </si>
  <si>
    <r>
      <t xml:space="preserve">KIỂM TRA HIỆN TRƯỜNG
</t>
    </r>
    <r>
      <rPr>
        <b/>
        <i/>
        <sz val="11"/>
        <color rgb="FF0070C0"/>
        <rFont val="Times New Roman"/>
        <family val="1"/>
      </rPr>
      <t>INSPECTION</t>
    </r>
  </si>
  <si>
    <r>
      <t xml:space="preserve">Chủ hàng
</t>
    </r>
    <r>
      <rPr>
        <b/>
        <i/>
        <sz val="11"/>
        <color rgb="FF0070C0"/>
        <rFont val="Times New Roman"/>
        <family val="1"/>
      </rPr>
      <t>Shipper</t>
    </r>
  </si>
  <si>
    <r>
      <t xml:space="preserve">Tên hàng
</t>
    </r>
    <r>
      <rPr>
        <b/>
        <i/>
        <sz val="11"/>
        <color rgb="FF0070C0"/>
        <rFont val="Times New Roman"/>
        <family val="1"/>
      </rPr>
      <t>Commodity</t>
    </r>
  </si>
  <si>
    <r>
      <t xml:space="preserve">Số seal
</t>
    </r>
    <r>
      <rPr>
        <b/>
        <i/>
        <sz val="11"/>
        <color rgb="FF0070C0"/>
        <rFont val="Times New Roman"/>
        <family val="1"/>
      </rPr>
      <t>No. seal</t>
    </r>
  </si>
  <si>
    <r>
      <t xml:space="preserve">Tình Trạng Seal
</t>
    </r>
    <r>
      <rPr>
        <b/>
        <i/>
        <sz val="11"/>
        <color rgb="FF0070C0"/>
        <rFont val="Times New Roman"/>
        <family val="1"/>
      </rPr>
      <t>Seal's status</t>
    </r>
  </si>
  <si>
    <t>7. Số lượng hàng đã giao lên tàu quốc tế (bằng chữ):</t>
  </si>
  <si>
    <t>7. Quantity of goods delivered on international ships (in words):</t>
  </si>
  <si>
    <r>
      <t xml:space="preserve">8. Ghi Chú (nếu có)/ </t>
    </r>
    <r>
      <rPr>
        <i/>
        <sz val="11"/>
        <color rgb="FF0070C0"/>
        <rFont val="Times New Roman"/>
        <family val="1"/>
      </rPr>
      <t>Remarks (if any)</t>
    </r>
  </si>
  <si>
    <r>
      <t xml:space="preserve">GIAO NHẬN HÀNG HÓA/ </t>
    </r>
    <r>
      <rPr>
        <b/>
        <i/>
        <sz val="11"/>
        <color rgb="FF0070C0"/>
        <rFont val="Times New Roman"/>
        <family val="1"/>
      </rPr>
      <t>DELIVERY CARGO</t>
    </r>
  </si>
  <si>
    <t>-  Hàng giao theo số lượng đã nhận tại nơi giao hàng có biên bản đầy đủ, seal chì nguyên vẹn.</t>
  </si>
  <si>
    <t>Cargo delivered according to the quantity received at port of loading have full records and full seals.</t>
  </si>
  <si>
    <t>-  Seal đầy đủ nguyên vẹn thì sà lan không chịu hao hụt vận chuyển.</t>
  </si>
  <si>
    <t>If the seal is intact, the barge will not suffer delivery shrinkage.</t>
  </si>
  <si>
    <t>- Hàng hư hỏng có biên bản riêng, xác định rõ nguyên nhân, hậu quả và hướng giải quyết.</t>
  </si>
  <si>
    <t>Damaged cargo have other records, clearly identifying the cause, consequences and solution.</t>
  </si>
  <si>
    <t>ĐẠI DIỆN SÀ LAN</t>
  </si>
  <si>
    <t>REPRESENTATIVE OF BARGE</t>
  </si>
  <si>
    <t>REPRESENTATIVE OF SHIPPER</t>
  </si>
  <si>
    <t>(Ký và ghi rõ họ tên)</t>
  </si>
  <si>
    <r>
      <t xml:space="preserve">LƯỢNG HÀNG THỰC GIAO
</t>
    </r>
    <r>
      <rPr>
        <b/>
        <i/>
        <sz val="11"/>
        <color rgb="FF0070C0"/>
        <rFont val="Times New Roman"/>
        <family val="1"/>
      </rPr>
      <t>QUANTITY OF DELIVERY</t>
    </r>
  </si>
  <si>
    <t>ĐẠI DIỆN CHỦ HÀNG</t>
  </si>
  <si>
    <t>ĐẠI DIỆN TVPL</t>
  </si>
  <si>
    <t>REPRESENTATIVE OF TVPL</t>
  </si>
  <si>
    <t>`</t>
  </si>
  <si>
    <t xml:space="preserve">        BIÊN BẢN KẾT TOÁN SÀ LAN</t>
  </si>
  <si>
    <t xml:space="preserve">              REPORT ON RECEIPT OF CARGO</t>
  </si>
  <si>
    <t>1-</t>
  </si>
  <si>
    <t>4-</t>
  </si>
  <si>
    <t>Quốc tịch :</t>
  </si>
  <si>
    <t xml:space="preserve"> </t>
  </si>
  <si>
    <t>Nationality</t>
  </si>
  <si>
    <t>2-</t>
  </si>
  <si>
    <t>Cảng xếp hàng :</t>
  </si>
  <si>
    <t>5-</t>
  </si>
  <si>
    <t xml:space="preserve">Ngày Đến: </t>
  </si>
  <si>
    <t>Port of loading</t>
  </si>
  <si>
    <t>Date Arrival</t>
  </si>
  <si>
    <t>3-</t>
  </si>
  <si>
    <t xml:space="preserve">Cảng bốc dỡ hàng : </t>
  </si>
  <si>
    <t>6-</t>
  </si>
  <si>
    <t xml:space="preserve">Ngày Đi: </t>
  </si>
  <si>
    <t>Port of discharging</t>
  </si>
  <si>
    <t>Departure</t>
  </si>
  <si>
    <t>SỐ LƯỢNG HÀNG GHI TRONG LƯỢC KHAI</t>
  </si>
  <si>
    <t>SỐ LƯỢNG HÀNG THỰC GIAO</t>
  </si>
  <si>
    <t>Number of packages mentioned in manifest</t>
  </si>
  <si>
    <t>Number of packages receiver</t>
  </si>
  <si>
    <t>Chủ hàng</t>
  </si>
  <si>
    <t>Số H.Đ.V.T</t>
  </si>
  <si>
    <t>Số lượng</t>
  </si>
  <si>
    <t>Trọng lượng</t>
  </si>
  <si>
    <t>Loại Hàng</t>
  </si>
  <si>
    <t>Consignee</t>
  </si>
  <si>
    <t>No.B/L</t>
  </si>
  <si>
    <t>Quantily</t>
  </si>
  <si>
    <t>Weight</t>
  </si>
  <si>
    <t>Description</t>
  </si>
  <si>
    <t>TOTAL:</t>
  </si>
  <si>
    <t>* Loading by bulk conveyor.</t>
  </si>
  <si>
    <t xml:space="preserve">       CONDITIONS &amp; EXCEPTION OF  RECEIPT</t>
  </si>
  <si>
    <t>ĐIỀU KIỆN GIAO NHẬN HÀNG</t>
  </si>
  <si>
    <t>-  Cargo received as per number of packages in</t>
  </si>
  <si>
    <t xml:space="preserve">-  Hàng giao nhận theo số lượng, bao bì nguyên vẹn, </t>
  </si>
  <si>
    <t xml:space="preserve">    apparent good condition without liability for contents.</t>
  </si>
  <si>
    <t xml:space="preserve">    không chịu trách nhiệm bên trong.</t>
  </si>
  <si>
    <t xml:space="preserve">-  Weight as per cargo manifest (including cargo in bulk) </t>
  </si>
  <si>
    <t>-  Trọng lượng ghi theo lược khai của tàu (kể cả</t>
  </si>
  <si>
    <t xml:space="preserve">    without liability for discrepancy</t>
  </si>
  <si>
    <t xml:space="preserve">   hàng rời)  không chịu trách nhiệm hao hụt.</t>
  </si>
  <si>
    <t>-  Cargo outturn report hereattache if any .</t>
  </si>
  <si>
    <t>-  Hàng hư hỏng có biên bản riêng.</t>
  </si>
  <si>
    <t xml:space="preserve"> BIÊN BẢN KIỂM TRA HẦM HÀNG</t>
  </si>
  <si>
    <t>CARGO HOLD INSPECTION MINUTES</t>
  </si>
  <si>
    <r>
      <t xml:space="preserve">Tên sà lan/ </t>
    </r>
    <r>
      <rPr>
        <i/>
        <sz val="12"/>
        <color rgb="FF0070C0"/>
        <rFont val="Times New Roman"/>
        <family val="1"/>
      </rPr>
      <t>Name of barges:</t>
    </r>
  </si>
  <si>
    <r>
      <t xml:space="preserve">Cảng nhận hàng/ </t>
    </r>
    <r>
      <rPr>
        <i/>
        <sz val="12"/>
        <color rgb="FF0070C0"/>
        <rFont val="Times New Roman"/>
        <family val="1"/>
      </rPr>
      <t>Port of loading:</t>
    </r>
  </si>
  <si>
    <r>
      <t>Cảng giao hàng/</t>
    </r>
    <r>
      <rPr>
        <i/>
        <sz val="12"/>
        <color rgb="FF0070C0"/>
        <rFont val="Times New Roman"/>
        <family val="1"/>
      </rPr>
      <t xml:space="preserve"> Port of discharging:</t>
    </r>
  </si>
  <si>
    <r>
      <t xml:space="preserve">Tàu quốc tế/ </t>
    </r>
    <r>
      <rPr>
        <i/>
        <sz val="12"/>
        <color rgb="FF0070C0"/>
        <rFont val="Times New Roman"/>
        <family val="1"/>
      </rPr>
      <t>Name of vessel:</t>
    </r>
  </si>
  <si>
    <r>
      <t xml:space="preserve">Thời gian đến Cảng nhận hàng/ </t>
    </r>
    <r>
      <rPr>
        <i/>
        <sz val="12"/>
        <color rgb="FF0070C0"/>
        <rFont val="Times New Roman"/>
        <family val="1"/>
      </rPr>
      <t>Time of arrival:</t>
    </r>
  </si>
  <si>
    <r>
      <t xml:space="preserve">Thời gian kiểm tra hầm hàng/ </t>
    </r>
    <r>
      <rPr>
        <i/>
        <sz val="12"/>
        <color rgb="FF0070C0"/>
        <rFont val="Times New Roman"/>
        <family val="1"/>
      </rPr>
      <t>Time of arrival:</t>
    </r>
  </si>
  <si>
    <r>
      <t xml:space="preserve">Thời gian bắt đầu làm hàng/ </t>
    </r>
    <r>
      <rPr>
        <i/>
        <sz val="12"/>
        <color rgb="FF0070C0"/>
        <rFont val="Times New Roman"/>
        <family val="1"/>
      </rPr>
      <t>Time of arrival:</t>
    </r>
  </si>
  <si>
    <t xml:space="preserve">                                                                                                                                 </t>
  </si>
  <si>
    <r>
      <t xml:space="preserve">THÔNG TIN HÀNG HÓA
</t>
    </r>
    <r>
      <rPr>
        <b/>
        <i/>
        <sz val="12"/>
        <color rgb="FF0070C0"/>
        <rFont val="Times New Roman"/>
        <family val="1"/>
      </rPr>
      <t>COMMODITY INFORMATION</t>
    </r>
  </si>
  <si>
    <r>
      <t xml:space="preserve">KIỂM TRA TÌNH TRẠNG HẦM HÀNG
</t>
    </r>
    <r>
      <rPr>
        <b/>
        <i/>
        <sz val="12"/>
        <color rgb="FF0070C0"/>
        <rFont val="Times New Roman"/>
        <family val="1"/>
      </rPr>
      <t>INSPECTION</t>
    </r>
  </si>
  <si>
    <r>
      <t xml:space="preserve">Chủ hàng
</t>
    </r>
    <r>
      <rPr>
        <b/>
        <i/>
        <sz val="12"/>
        <color rgb="FF0070C0"/>
        <rFont val="Times New Roman"/>
        <family val="1"/>
      </rPr>
      <t>Shipper</t>
    </r>
  </si>
  <si>
    <r>
      <t xml:space="preserve">Tên hàng
</t>
    </r>
    <r>
      <rPr>
        <b/>
        <i/>
        <sz val="12"/>
        <color rgb="FF0070C0"/>
        <rFont val="Times New Roman"/>
        <family val="1"/>
      </rPr>
      <t>Commodity</t>
    </r>
  </si>
  <si>
    <r>
      <t xml:space="preserve">Số hầm
</t>
    </r>
    <r>
      <rPr>
        <b/>
        <i/>
        <sz val="12"/>
        <color rgb="FF0070C0"/>
        <rFont val="Times New Roman"/>
        <family val="1"/>
      </rPr>
      <t>No. hold</t>
    </r>
  </si>
  <si>
    <r>
      <t xml:space="preserve">Tình trạng hầm
</t>
    </r>
    <r>
      <rPr>
        <b/>
        <i/>
        <sz val="12"/>
        <color rgb="FF0070C0"/>
        <rFont val="Times New Roman"/>
        <family val="1"/>
      </rPr>
      <t>Hold's status</t>
    </r>
  </si>
  <si>
    <t>Hai bên cùng thống nhất kiểm tra hầm hàng đã đạt trước khi xuất hàng. Đảm bảo hầm hàng sạch sẽ, khô thoáng, không lẫn tạp chất</t>
  </si>
  <si>
    <t>Both sides agreed to check the achieved cargo hold before loading cargo. Make sure the cargo hold is clean, dry, and free of impurities</t>
  </si>
  <si>
    <t>Tên hàng (loại hàng)</t>
  </si>
  <si>
    <t>Số biên bản</t>
  </si>
  <si>
    <t>Cảng nhận hàng</t>
  </si>
  <si>
    <t>Cảng giao hàng</t>
  </si>
  <si>
    <t>Tàu quốc tế</t>
  </si>
  <si>
    <t>Thời gian đến Cảng nhận hàng</t>
  </si>
  <si>
    <t>Thời gian kiểm tra hầm hàng</t>
  </si>
  <si>
    <t>Thời gian bắt đầu làm hàng</t>
  </si>
  <si>
    <t>Thời gian kết thúc làm hàng</t>
  </si>
  <si>
    <t>Thời gian tàu rời cảng</t>
  </si>
  <si>
    <t>Số lượng trên lượt khai</t>
  </si>
  <si>
    <t>Lượng hàng thực giao / nhận</t>
  </si>
  <si>
    <t>Thời gian</t>
  </si>
  <si>
    <t>Hạng mục</t>
  </si>
  <si>
    <t>Mục cần điền</t>
  </si>
  <si>
    <t>Quốc tịch</t>
  </si>
  <si>
    <t>Số lượng seal</t>
  </si>
  <si>
    <t>cái</t>
  </si>
  <si>
    <t>BB seal</t>
  </si>
  <si>
    <t>xe</t>
  </si>
  <si>
    <t>kg</t>
  </si>
  <si>
    <t>ĐVT</t>
  </si>
  <si>
    <t>Số hầm sà lan</t>
  </si>
  <si>
    <t>hầm</t>
  </si>
  <si>
    <t>Số / No.:</t>
  </si>
  <si>
    <t>Việt Nam</t>
  </si>
  <si>
    <t xml:space="preserve">* Commenced loading at </t>
  </si>
  <si>
    <t xml:space="preserve">* Completed loading at </t>
  </si>
  <si>
    <t xml:space="preserve"> BIÊN BẢN NIÊM CHÌ</t>
  </si>
  <si>
    <t xml:space="preserve">BARGE SEALING RECORD </t>
  </si>
  <si>
    <r>
      <t xml:space="preserve">Trọng lượng hàng / </t>
    </r>
    <r>
      <rPr>
        <i/>
        <sz val="12"/>
        <color theme="8"/>
        <rFont val="Times New Roman"/>
        <family val="1"/>
      </rPr>
      <t>Quantity (Kgs)</t>
    </r>
  </si>
  <si>
    <r>
      <t xml:space="preserve">Ngày niêm chì / </t>
    </r>
    <r>
      <rPr>
        <i/>
        <sz val="12"/>
        <color theme="8"/>
        <rFont val="Times New Roman"/>
        <family val="1"/>
      </rPr>
      <t>Date</t>
    </r>
  </si>
  <si>
    <r>
      <t xml:space="preserve">Số lượng seal chì / </t>
    </r>
    <r>
      <rPr>
        <i/>
        <sz val="12"/>
        <color theme="8"/>
        <rFont val="Times New Roman"/>
        <family val="1"/>
      </rPr>
      <t>Numbers of seal</t>
    </r>
  </si>
  <si>
    <t>Vị Trí</t>
  </si>
  <si>
    <t>Số seal</t>
  </si>
  <si>
    <r>
      <rPr>
        <b/>
        <sz val="12"/>
        <rFont val="Times New Roman"/>
        <family val="1"/>
      </rPr>
      <t>Sealing Plan/</t>
    </r>
    <r>
      <rPr>
        <b/>
        <i/>
        <sz val="12"/>
        <rFont val="Times New Roman"/>
        <family val="1"/>
      </rPr>
      <t xml:space="preserve"> </t>
    </r>
    <r>
      <rPr>
        <b/>
        <i/>
        <sz val="12"/>
        <color theme="8"/>
        <rFont val="Times New Roman"/>
        <family val="1"/>
      </rPr>
      <t>Sơ đồ niêm phong</t>
    </r>
  </si>
  <si>
    <t>ĐẠI DIỆN PHƯƠNG TIÊN NHẬN HÀNG</t>
  </si>
  <si>
    <t xml:space="preserve">REPRESENTATIVE OF BARGE </t>
  </si>
  <si>
    <t>Tình trạng vách hầm sà lan: Không có các tấm thép, vật dụng có thể bong ra lúc cạp hàng</t>
  </si>
  <si>
    <t>Tình trạng nắp hầm: không có tạp chất đọng trong các xương chịu lực dưới nắp hầm, không có sắp thép có nguy cơ rơi rớt,…</t>
  </si>
  <si>
    <t>Phía trên nắp và xung quanh hầm hàng: không có các vật dụng có thể rơi xuống hầm hàng khi đóng mở nắp, khi làm hàng</t>
  </si>
  <si>
    <t>Khác: (ghi rõ)</t>
  </si>
  <si>
    <t>ĐẠT</t>
  </si>
  <si>
    <t>KHÔNG</t>
  </si>
  <si>
    <t>Đánh giá chi tiết kiểm tra hầm sà lan trước khi nhận hàng</t>
  </si>
  <si>
    <r>
      <t xml:space="preserve">Trọng lượng (kgs)
</t>
    </r>
    <r>
      <rPr>
        <b/>
        <i/>
        <sz val="11"/>
        <color rgb="FF0070C0"/>
        <rFont val="Times New Roman"/>
        <family val="1"/>
      </rPr>
      <t>Quantity (kgs)</t>
    </r>
  </si>
  <si>
    <t>KHO - sà lan</t>
  </si>
  <si>
    <t>CONT - Sà lan</t>
  </si>
  <si>
    <t>Xá Thẳng - sà lan</t>
  </si>
  <si>
    <t>Tên sà lan nhận hàng</t>
  </si>
  <si>
    <r>
      <t>7- Bằng chữ</t>
    </r>
    <r>
      <rPr>
        <b/>
        <i/>
        <u/>
        <sz val="10"/>
        <rFont val="Times New Roman"/>
        <family val="1"/>
      </rPr>
      <t xml:space="preserve"> </t>
    </r>
    <r>
      <rPr>
        <b/>
        <i/>
        <u/>
        <sz val="8"/>
        <rFont val="Times New Roman"/>
        <family val="1"/>
      </rPr>
      <t>(In word)</t>
    </r>
    <r>
      <rPr>
        <b/>
        <u/>
        <sz val="10"/>
        <rFont val="Times New Roman"/>
        <family val="1"/>
      </rPr>
      <t xml:space="preserve">: </t>
    </r>
  </si>
  <si>
    <t>8- Phương án làm hàng</t>
  </si>
  <si>
    <r>
      <t xml:space="preserve">9- Ghi Chú </t>
    </r>
    <r>
      <rPr>
        <b/>
        <i/>
        <u/>
        <sz val="8"/>
        <rFont val="Times New Roman"/>
        <family val="1"/>
      </rPr>
      <t>(Remaks)</t>
    </r>
    <r>
      <rPr>
        <b/>
        <u/>
        <sz val="9"/>
        <rFont val="Times New Roman"/>
        <family val="1"/>
      </rPr>
      <t>:</t>
    </r>
  </si>
  <si>
    <t>* Xá kho:</t>
  </si>
  <si>
    <t>* Xá cont:</t>
  </si>
  <si>
    <t>* Xá thẳng:</t>
  </si>
  <si>
    <t>Kgs</t>
  </si>
  <si>
    <t>Tên tàu/sà lan :</t>
  </si>
  <si>
    <t>Vessel/Barge</t>
  </si>
  <si>
    <t xml:space="preserve">  </t>
  </si>
  <si>
    <t>Cảng Nguyên Ngọc - TPHCM</t>
  </si>
  <si>
    <t>NGUYEN NGOC, TPHCM</t>
  </si>
  <si>
    <t>CÔNG TY EASTWOOD ENERGY</t>
  </si>
  <si>
    <t>VIÊN NÉN GỖ (SBP Compliant Biomass)</t>
  </si>
  <si>
    <t>SG 10678</t>
  </si>
  <si>
    <t>PHAO THIỀNG LIỀNG</t>
  </si>
  <si>
    <t>31/05/2026</t>
  </si>
  <si>
    <t>06:48</t>
  </si>
  <si>
    <t>08:56</t>
  </si>
  <si>
    <t>08:00</t>
  </si>
  <si>
    <t>JUN/EW-NN/17000000-NB/07</t>
  </si>
  <si>
    <t>01/06/2026</t>
  </si>
  <si>
    <t>04:31</t>
  </si>
  <si>
    <t>05:10</t>
  </si>
  <si>
    <t>XIN XIANG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</si>
</sst>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_-* #,##0.000_-;\-* #,##0.000_-;_-* &quot;-&quot;??_-;_-@_-"/>
    <numFmt numFmtId="165" formatCode="#,##0.000"/>
    <numFmt numFmtId="166" formatCode="_(* #,##0_);_(* \(#,##0\);_(* &quot;-&quot;??_);_(@_)"/>
    <numFmt numFmtId="167" formatCode="#,###\ &quot;P'KGS&quot;"/>
    <numFmt numFmtId="168" formatCode="#,###\ &quot;TRUCKS&quot;"/>
    <numFmt numFmtId="169" formatCode="_(* #,##0.0_);_(* \(#,##0.0\);_(* &quot;-&quot;??_);_(@_)"/>
    <numFmt numFmtId="170" formatCode="#,###\ &quot;KGS&quot;"/>
  </numFmts>
  <fonts count="60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163"/>
    </font>
    <font>
      <b/>
      <sz val="16"/>
      <name val="Times New Roman"/>
      <family val="1"/>
    </font>
    <font>
      <b/>
      <i/>
      <sz val="14"/>
      <color rgb="FF0070C0"/>
      <name val="Times New Roman"/>
      <family val="1"/>
    </font>
    <font>
      <b/>
      <i/>
      <sz val="14"/>
      <name val="Times New Roman"/>
      <family val="1"/>
    </font>
    <font>
      <sz val="11"/>
      <name val="Times New Roman"/>
      <family val="1"/>
    </font>
    <font>
      <i/>
      <sz val="11"/>
      <color rgb="FF0070C0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b/>
      <i/>
      <sz val="11"/>
      <color rgb="FF0070C0"/>
      <name val="Times New Roman"/>
      <family val="1"/>
    </font>
    <font>
      <b/>
      <i/>
      <sz val="11"/>
      <name val="Times New Roman"/>
      <family val="1"/>
    </font>
    <font>
      <sz val="11"/>
      <color indexed="9"/>
      <name val="Times New Roman"/>
      <family val="1"/>
    </font>
    <font>
      <sz val="11"/>
      <color theme="1"/>
      <name val="Calibri"/>
      <family val="2"/>
      <scheme val="minor"/>
    </font>
    <font>
      <b/>
      <sz val="10"/>
      <name val="Arial"/>
      <family val="2"/>
      <charset val="163"/>
    </font>
    <font>
      <sz val="10"/>
      <name val="VNI-Times"/>
    </font>
    <font>
      <b/>
      <sz val="11"/>
      <name val="Times New Roman"/>
      <family val="1"/>
      <charset val="163"/>
    </font>
    <font>
      <b/>
      <sz val="16"/>
      <name val="Palatino Linotype"/>
      <family val="1"/>
    </font>
    <font>
      <b/>
      <sz val="11"/>
      <name val="Palatino Linotype"/>
      <family val="1"/>
    </font>
    <font>
      <b/>
      <sz val="11"/>
      <color rgb="FF0070C0"/>
      <name val="Times New Roman"/>
      <family val="1"/>
    </font>
    <font>
      <b/>
      <sz val="18"/>
      <name val="Times New Roman"/>
      <family val="1"/>
    </font>
    <font>
      <sz val="18"/>
      <color theme="1"/>
      <name val="Times New Roman"/>
      <family val="1"/>
    </font>
    <font>
      <b/>
      <i/>
      <sz val="18"/>
      <color rgb="FF0070C0"/>
      <name val="Times New Roman"/>
      <family val="1"/>
    </font>
    <font>
      <sz val="12"/>
      <name val="Times New Roman"/>
      <family val="1"/>
    </font>
    <font>
      <i/>
      <sz val="12"/>
      <color rgb="FF0070C0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i/>
      <sz val="12"/>
      <name val="Times New Roman"/>
      <family val="1"/>
    </font>
    <font>
      <b/>
      <i/>
      <sz val="12"/>
      <color rgb="FF0070C0"/>
      <name val="Times New Roman"/>
      <family val="1"/>
    </font>
    <font>
      <b/>
      <i/>
      <sz val="12"/>
      <name val="Times New Roman"/>
      <family val="1"/>
    </font>
    <font>
      <sz val="12"/>
      <color indexed="9"/>
      <name val="Times New Roman"/>
      <family val="1"/>
    </font>
    <font>
      <i/>
      <sz val="12"/>
      <color theme="8" tint="-0.249977111117893"/>
      <name val="Times New Roman"/>
      <family val="1"/>
    </font>
    <font>
      <sz val="12"/>
      <color theme="8" tint="-0.249977111117893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9.5"/>
      <name val="Times New Roman"/>
      <family val="1"/>
    </font>
    <font>
      <sz val="9.5"/>
      <name val="Times New Roman"/>
      <family val="1"/>
    </font>
    <font>
      <b/>
      <i/>
      <sz val="8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8"/>
      <color indexed="10"/>
      <name val="Times New Roman"/>
      <family val="1"/>
    </font>
    <font>
      <b/>
      <u/>
      <sz val="9"/>
      <name val="Times New Roman"/>
      <family val="1"/>
    </font>
    <font>
      <b/>
      <i/>
      <u/>
      <sz val="8"/>
      <name val="Times New Roman"/>
      <family val="1"/>
    </font>
    <font>
      <sz val="8"/>
      <color indexed="9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i/>
      <sz val="12"/>
      <color theme="8"/>
      <name val="Times New Roman"/>
      <family val="1"/>
    </font>
    <font>
      <b/>
      <i/>
      <sz val="12"/>
      <color theme="8"/>
      <name val="Times New Roman"/>
      <family val="1"/>
    </font>
    <font>
      <b/>
      <i/>
      <sz val="9"/>
      <color rgb="FF0070C0"/>
      <name val="Times New Roman"/>
      <family val="1"/>
    </font>
    <font>
      <b/>
      <u/>
      <sz val="10"/>
      <name val="Times New Roman"/>
      <family val="1"/>
    </font>
    <font>
      <b/>
      <i/>
      <u/>
      <sz val="10"/>
      <name val="Times New Roman"/>
      <family val="1"/>
    </font>
    <font>
      <i/>
      <sz val="11"/>
      <color rgb="FFFF0000"/>
      <name val="Times New Roman"/>
      <family val="1"/>
    </font>
    <font>
      <b/>
      <sz val="11"/>
      <color rgb="FF081B3A"/>
      <name val="Segoe UI"/>
      <family val="2"/>
    </font>
    <font>
      <sz val="11"/>
      <color rgb="FF081B3A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235">
    <xf numFmtId="0" fontId="0" fillId="0" borderId="0" xfId="0"/>
    <xf numFmtId="0" fontId="4" fillId="0" borderId="0" xfId="1" applyFont="1" applyAlignment="1">
      <alignment horizontal="center" vertical="center"/>
    </xf>
    <xf numFmtId="0" fontId="5" fillId="0" borderId="0" xfId="1" applyFont="1"/>
    <xf numFmtId="0" fontId="5" fillId="0" borderId="0" xfId="1" applyFont="1" applyAlignment="1">
      <alignment horizontal="left"/>
    </xf>
    <xf numFmtId="0" fontId="7" fillId="0" borderId="0" xfId="1" applyFont="1"/>
    <xf numFmtId="0" fontId="8" fillId="0" borderId="0" xfId="1" applyFont="1"/>
    <xf numFmtId="0" fontId="6" fillId="0" borderId="0" xfId="1" applyFont="1"/>
    <xf numFmtId="0" fontId="10" fillId="0" borderId="0" xfId="1" applyFont="1"/>
    <xf numFmtId="0" fontId="9" fillId="0" borderId="0" xfId="1" applyFont="1"/>
    <xf numFmtId="164" fontId="5" fillId="0" borderId="0" xfId="2" applyNumberFormat="1" applyFont="1" applyBorder="1" applyAlignment="1">
      <alignment horizontal="left"/>
    </xf>
    <xf numFmtId="1" fontId="11" fillId="0" borderId="0" xfId="1" applyNumberFormat="1" applyFont="1"/>
    <xf numFmtId="0" fontId="8" fillId="0" borderId="0" xfId="1" applyFont="1" applyAlignment="1">
      <alignment horizontal="left"/>
    </xf>
    <xf numFmtId="0" fontId="5" fillId="0" borderId="0" xfId="1" quotePrefix="1" applyFont="1" applyAlignment="1">
      <alignment vertical="center"/>
    </xf>
    <xf numFmtId="0" fontId="5" fillId="0" borderId="0" xfId="1" applyFont="1" applyAlignment="1">
      <alignment vertical="center"/>
    </xf>
    <xf numFmtId="0" fontId="6" fillId="0" borderId="0" xfId="1" quotePrefix="1" applyFont="1" applyAlignment="1">
      <alignment vertical="center"/>
    </xf>
    <xf numFmtId="0" fontId="16" fillId="0" borderId="0" xfId="0" applyFont="1" applyAlignment="1">
      <alignment wrapText="1"/>
    </xf>
    <xf numFmtId="0" fontId="19" fillId="0" borderId="0" xfId="1" applyFont="1"/>
    <xf numFmtId="0" fontId="20" fillId="0" borderId="0" xfId="0" applyFont="1"/>
    <xf numFmtId="0" fontId="21" fillId="0" borderId="0" xfId="1" applyFont="1" applyAlignment="1">
      <alignment vertical="center"/>
    </xf>
    <xf numFmtId="0" fontId="22" fillId="0" borderId="0" xfId="1" applyFont="1" applyAlignment="1">
      <alignment horizontal="right"/>
    </xf>
    <xf numFmtId="0" fontId="22" fillId="0" borderId="0" xfId="1" applyFont="1"/>
    <xf numFmtId="0" fontId="25" fillId="0" borderId="0" xfId="0" applyFont="1"/>
    <xf numFmtId="0" fontId="22" fillId="0" borderId="0" xfId="1" applyFont="1" applyAlignment="1">
      <alignment horizontal="left"/>
    </xf>
    <xf numFmtId="0" fontId="22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6" fillId="0" borderId="0" xfId="1" applyFont="1"/>
    <xf numFmtId="0" fontId="28" fillId="0" borderId="0" xfId="1" applyFont="1" applyAlignment="1">
      <alignment horizontal="left"/>
    </xf>
    <xf numFmtId="0" fontId="28" fillId="0" borderId="0" xfId="1" applyFont="1"/>
    <xf numFmtId="1" fontId="29" fillId="0" borderId="0" xfId="1" applyNumberFormat="1" applyFont="1"/>
    <xf numFmtId="0" fontId="27" fillId="0" borderId="0" xfId="1" applyFont="1"/>
    <xf numFmtId="0" fontId="24" fillId="0" borderId="0" xfId="1" applyFont="1"/>
    <xf numFmtId="0" fontId="23" fillId="0" borderId="0" xfId="1" applyFont="1"/>
    <xf numFmtId="0" fontId="22" fillId="0" borderId="0" xfId="1" quotePrefix="1" applyFont="1" applyAlignment="1">
      <alignment vertical="center"/>
    </xf>
    <xf numFmtId="0" fontId="30" fillId="0" borderId="0" xfId="0" applyFont="1" applyAlignment="1">
      <alignment horizontal="left" vertical="center"/>
    </xf>
    <xf numFmtId="0" fontId="31" fillId="0" borderId="0" xfId="1" applyFont="1" applyAlignment="1">
      <alignment vertical="center"/>
    </xf>
    <xf numFmtId="0" fontId="23" fillId="0" borderId="0" xfId="1" quotePrefix="1" applyFont="1" applyAlignment="1">
      <alignment vertical="center"/>
    </xf>
    <xf numFmtId="0" fontId="24" fillId="0" borderId="0" xfId="1" applyFont="1" applyAlignment="1">
      <alignment horizontal="center"/>
    </xf>
    <xf numFmtId="0" fontId="27" fillId="0" borderId="0" xfId="1" applyFont="1" applyAlignment="1">
      <alignment horizontal="center"/>
    </xf>
    <xf numFmtId="0" fontId="28" fillId="0" borderId="0" xfId="1" applyFont="1" applyAlignment="1">
      <alignment horizontal="center"/>
    </xf>
    <xf numFmtId="0" fontId="32" fillId="0" borderId="0" xfId="0" applyFont="1" applyAlignment="1">
      <alignment horizontal="center"/>
    </xf>
    <xf numFmtId="0" fontId="32" fillId="0" borderId="0" xfId="0" applyFont="1"/>
    <xf numFmtId="0" fontId="33" fillId="0" borderId="0" xfId="0" applyFont="1"/>
    <xf numFmtId="0" fontId="8" fillId="0" borderId="0" xfId="0" applyFont="1" applyAlignment="1">
      <alignment wrapText="1"/>
    </xf>
    <xf numFmtId="0" fontId="36" fillId="0" borderId="0" xfId="1" applyFont="1"/>
    <xf numFmtId="0" fontId="37" fillId="0" borderId="0" xfId="1" applyFont="1" applyAlignment="1">
      <alignment horizontal="right"/>
    </xf>
    <xf numFmtId="0" fontId="38" fillId="0" borderId="0" xfId="1" applyFont="1"/>
    <xf numFmtId="0" fontId="24" fillId="0" borderId="0" xfId="1" applyFont="1" applyAlignment="1">
      <alignment horizontal="left"/>
    </xf>
    <xf numFmtId="0" fontId="36" fillId="0" borderId="0" xfId="1" applyFont="1" applyAlignment="1">
      <alignment horizontal="right"/>
    </xf>
    <xf numFmtId="0" fontId="39" fillId="0" borderId="0" xfId="1" applyFont="1"/>
    <xf numFmtId="0" fontId="39" fillId="0" borderId="0" xfId="1" applyFont="1" applyAlignment="1">
      <alignment horizontal="center"/>
    </xf>
    <xf numFmtId="0" fontId="40" fillId="0" borderId="0" xfId="1" applyFont="1"/>
    <xf numFmtId="14" fontId="39" fillId="0" borderId="0" xfId="1" applyNumberFormat="1" applyFont="1" applyAlignment="1">
      <alignment horizontal="center"/>
    </xf>
    <xf numFmtId="0" fontId="41" fillId="0" borderId="0" xfId="1" applyFont="1"/>
    <xf numFmtId="0" fontId="42" fillId="0" borderId="0" xfId="1" applyFont="1"/>
    <xf numFmtId="0" fontId="38" fillId="0" borderId="2" xfId="1" applyFont="1" applyBorder="1" applyAlignment="1">
      <alignment horizontal="center" vertical="center"/>
    </xf>
    <xf numFmtId="0" fontId="43" fillId="0" borderId="2" xfId="1" applyFont="1" applyBorder="1" applyAlignment="1">
      <alignment horizontal="center" vertical="center"/>
    </xf>
    <xf numFmtId="0" fontId="46" fillId="0" borderId="0" xfId="1" applyFont="1" applyAlignment="1">
      <alignment horizontal="center"/>
    </xf>
    <xf numFmtId="0" fontId="44" fillId="0" borderId="0" xfId="1" applyFont="1"/>
    <xf numFmtId="0" fontId="47" fillId="0" borderId="0" xfId="1" applyFont="1"/>
    <xf numFmtId="0" fontId="45" fillId="0" borderId="0" xfId="1" applyFont="1" applyAlignment="1">
      <alignment horizontal="left"/>
    </xf>
    <xf numFmtId="0" fontId="36" fillId="0" borderId="0" xfId="1" applyFont="1" applyAlignment="1">
      <alignment horizontal="left"/>
    </xf>
    <xf numFmtId="164" fontId="36" fillId="0" borderId="0" xfId="2" applyNumberFormat="1" applyFont="1" applyBorder="1" applyAlignment="1">
      <alignment horizontal="left"/>
    </xf>
    <xf numFmtId="1" fontId="49" fillId="0" borderId="0" xfId="1" applyNumberFormat="1" applyFont="1" applyAlignment="1">
      <alignment horizontal="left"/>
    </xf>
    <xf numFmtId="164" fontId="36" fillId="0" borderId="0" xfId="2" applyNumberFormat="1" applyFont="1" applyBorder="1"/>
    <xf numFmtId="0" fontId="39" fillId="0" borderId="0" xfId="1" applyFont="1" applyAlignment="1">
      <alignment horizontal="left"/>
    </xf>
    <xf numFmtId="0" fontId="35" fillId="0" borderId="0" xfId="1" applyFont="1"/>
    <xf numFmtId="0" fontId="34" fillId="0" borderId="0" xfId="1" applyFont="1"/>
    <xf numFmtId="0" fontId="34" fillId="0" borderId="0" xfId="1" applyFont="1" applyAlignment="1">
      <alignment horizontal="center"/>
    </xf>
    <xf numFmtId="0" fontId="45" fillId="0" borderId="0" xfId="1" applyFont="1"/>
    <xf numFmtId="0" fontId="33" fillId="0" borderId="0" xfId="0" applyFont="1" applyAlignment="1">
      <alignment horizontal="center"/>
    </xf>
    <xf numFmtId="0" fontId="33" fillId="0" borderId="2" xfId="0" applyFont="1" applyBorder="1"/>
    <xf numFmtId="0" fontId="22" fillId="0" borderId="2" xfId="1" applyFont="1" applyBorder="1"/>
    <xf numFmtId="0" fontId="24" fillId="4" borderId="2" xfId="0" applyFont="1" applyFill="1" applyBorder="1" applyAlignment="1">
      <alignment horizontal="left" vertical="center"/>
    </xf>
    <xf numFmtId="0" fontId="22" fillId="0" borderId="2" xfId="1" applyFont="1" applyBorder="1" applyAlignment="1">
      <alignment horizontal="left"/>
    </xf>
    <xf numFmtId="0" fontId="22" fillId="0" borderId="2" xfId="1" applyFont="1" applyBorder="1" applyAlignment="1">
      <alignment vertical="center"/>
    </xf>
    <xf numFmtId="0" fontId="24" fillId="5" borderId="2" xfId="1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50" fillId="5" borderId="0" xfId="0" applyFont="1" applyFill="1" applyAlignment="1">
      <alignment horizontal="center"/>
    </xf>
    <xf numFmtId="0" fontId="50" fillId="5" borderId="2" xfId="0" applyFont="1" applyFill="1" applyBorder="1" applyAlignment="1">
      <alignment horizontal="center"/>
    </xf>
    <xf numFmtId="0" fontId="33" fillId="5" borderId="2" xfId="0" applyFont="1" applyFill="1" applyBorder="1"/>
    <xf numFmtId="0" fontId="33" fillId="0" borderId="2" xfId="0" applyFont="1" applyBorder="1" applyAlignment="1">
      <alignment horizontal="center"/>
    </xf>
    <xf numFmtId="0" fontId="24" fillId="4" borderId="2" xfId="0" applyFont="1" applyFill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33" fillId="5" borderId="2" xfId="0" applyFont="1" applyFill="1" applyBorder="1" applyAlignment="1">
      <alignment horizontal="center"/>
    </xf>
    <xf numFmtId="0" fontId="26" fillId="0" borderId="2" xfId="1" quotePrefix="1" applyFont="1" applyBorder="1"/>
    <xf numFmtId="0" fontId="45" fillId="0" borderId="0" xfId="1" applyFont="1" applyAlignment="1"/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right" vertical="center"/>
    </xf>
    <xf numFmtId="0" fontId="7" fillId="0" borderId="0" xfId="1" applyFont="1" applyAlignment="1">
      <alignment vertical="center"/>
    </xf>
    <xf numFmtId="166" fontId="33" fillId="0" borderId="2" xfId="3" applyNumberFormat="1" applyFont="1" applyBorder="1" applyAlignment="1">
      <alignment horizontal="left"/>
    </xf>
    <xf numFmtId="0" fontId="26" fillId="0" borderId="0" xfId="1" applyFont="1" applyAlignment="1">
      <alignment vertical="center"/>
    </xf>
    <xf numFmtId="37" fontId="26" fillId="0" borderId="0" xfId="3" applyNumberFormat="1" applyFont="1" applyAlignment="1">
      <alignment horizontal="left" vertical="center"/>
    </xf>
    <xf numFmtId="39" fontId="28" fillId="0" borderId="0" xfId="3" applyNumberFormat="1" applyFont="1" applyAlignment="1">
      <alignment horizontal="left" vertical="center"/>
    </xf>
    <xf numFmtId="0" fontId="22" fillId="0" borderId="1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 wrapText="1"/>
    </xf>
    <xf numFmtId="0" fontId="22" fillId="0" borderId="1" xfId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4" fillId="0" borderId="0" xfId="1" applyFont="1" applyAlignment="1">
      <alignment vertical="center"/>
    </xf>
    <xf numFmtId="0" fontId="24" fillId="0" borderId="2" xfId="1" applyFont="1" applyBorder="1" applyAlignment="1">
      <alignment horizontal="center" wrapText="1"/>
    </xf>
    <xf numFmtId="0" fontId="26" fillId="0" borderId="2" xfId="1" applyFont="1" applyBorder="1"/>
    <xf numFmtId="0" fontId="23" fillId="0" borderId="6" xfId="1" applyFont="1" applyBorder="1" applyAlignment="1">
      <alignment horizontal="center"/>
    </xf>
    <xf numFmtId="0" fontId="26" fillId="0" borderId="7" xfId="1" applyFont="1" applyBorder="1"/>
    <xf numFmtId="0" fontId="26" fillId="0" borderId="6" xfId="1" applyFont="1" applyBorder="1" applyAlignment="1">
      <alignment horizontal="center"/>
    </xf>
    <xf numFmtId="164" fontId="22" fillId="0" borderId="7" xfId="2" applyNumberFormat="1" applyFont="1" applyBorder="1" applyAlignment="1">
      <alignment horizontal="left"/>
    </xf>
    <xf numFmtId="0" fontId="22" fillId="0" borderId="7" xfId="1" applyFont="1" applyBorder="1"/>
    <xf numFmtId="0" fontId="26" fillId="0" borderId="8" xfId="1" applyFont="1" applyBorder="1" applyAlignment="1">
      <alignment horizontal="center" vertical="center"/>
    </xf>
    <xf numFmtId="0" fontId="22" fillId="0" borderId="9" xfId="1" applyFont="1" applyBorder="1"/>
    <xf numFmtId="0" fontId="22" fillId="0" borderId="10" xfId="1" applyFont="1" applyBorder="1"/>
    <xf numFmtId="0" fontId="24" fillId="0" borderId="0" xfId="1" applyFont="1" applyBorder="1" applyAlignment="1">
      <alignment horizontal="center" vertical="center" wrapText="1"/>
    </xf>
    <xf numFmtId="0" fontId="24" fillId="0" borderId="0" xfId="1" applyFont="1" applyBorder="1" applyAlignment="1">
      <alignment horizontal="center" vertical="center"/>
    </xf>
    <xf numFmtId="2" fontId="22" fillId="0" borderId="11" xfId="1" applyNumberFormat="1" applyFont="1" applyBorder="1" applyAlignment="1">
      <alignment horizontal="center" vertical="center"/>
    </xf>
    <xf numFmtId="0" fontId="24" fillId="0" borderId="9" xfId="1" applyFont="1" applyBorder="1" applyAlignment="1">
      <alignment horizontal="center" vertical="center"/>
    </xf>
    <xf numFmtId="0" fontId="28" fillId="2" borderId="4" xfId="1" applyFont="1" applyFill="1" applyBorder="1" applyAlignment="1">
      <alignment horizontal="center" vertical="center"/>
    </xf>
    <xf numFmtId="0" fontId="28" fillId="2" borderId="5" xfId="1" applyFont="1" applyFill="1" applyBorder="1" applyAlignment="1">
      <alignment horizontal="center" vertical="center"/>
    </xf>
    <xf numFmtId="0" fontId="38" fillId="0" borderId="2" xfId="1" applyFont="1" applyBorder="1" applyAlignment="1">
      <alignment horizontal="center"/>
    </xf>
    <xf numFmtId="0" fontId="43" fillId="0" borderId="2" xfId="1" applyFont="1" applyBorder="1" applyAlignment="1">
      <alignment horizontal="center"/>
    </xf>
    <xf numFmtId="0" fontId="38" fillId="0" borderId="16" xfId="1" applyFont="1" applyBorder="1" applyAlignment="1">
      <alignment horizontal="center"/>
    </xf>
    <xf numFmtId="0" fontId="43" fillId="0" borderId="16" xfId="1" applyFont="1" applyBorder="1" applyAlignment="1">
      <alignment horizontal="center"/>
    </xf>
    <xf numFmtId="0" fontId="39" fillId="3" borderId="18" xfId="1" applyFont="1" applyFill="1" applyBorder="1" applyAlignment="1">
      <alignment horizontal="right" vertical="center"/>
    </xf>
    <xf numFmtId="0" fontId="36" fillId="3" borderId="19" xfId="1" applyFont="1" applyFill="1" applyBorder="1" applyAlignment="1">
      <alignment horizontal="center"/>
    </xf>
    <xf numFmtId="0" fontId="8" fillId="0" borderId="2" xfId="1" applyFont="1" applyBorder="1" applyAlignment="1">
      <alignment horizontal="center" wrapText="1"/>
    </xf>
    <xf numFmtId="170" fontId="8" fillId="3" borderId="18" xfId="1" applyNumberFormat="1" applyFont="1" applyFill="1" applyBorder="1" applyAlignment="1">
      <alignment horizontal="right" vertical="center"/>
    </xf>
    <xf numFmtId="0" fontId="24" fillId="2" borderId="2" xfId="1" applyFont="1" applyFill="1" applyBorder="1" applyAlignment="1">
      <alignment horizontal="center" vertical="center" wrapText="1"/>
    </xf>
    <xf numFmtId="0" fontId="24" fillId="2" borderId="2" xfId="1" applyFont="1" applyFill="1" applyBorder="1" applyAlignment="1">
      <alignment horizontal="center" vertical="center"/>
    </xf>
    <xf numFmtId="37" fontId="28" fillId="0" borderId="0" xfId="3" applyNumberFormat="1" applyFont="1" applyAlignment="1">
      <alignment horizontal="left" vertical="center"/>
    </xf>
    <xf numFmtId="0" fontId="55" fillId="0" borderId="0" xfId="1" applyFont="1"/>
    <xf numFmtId="0" fontId="36" fillId="0" borderId="0" xfId="1" quotePrefix="1" applyFont="1"/>
    <xf numFmtId="0" fontId="57" fillId="0" borderId="2" xfId="0" applyFont="1" applyBorder="1" applyAlignment="1">
      <alignment horizontal="right" vertical="center"/>
    </xf>
    <xf numFmtId="0" fontId="0" fillId="0" borderId="2" xfId="0" applyBorder="1"/>
    <xf numFmtId="166" fontId="0" fillId="0" borderId="2" xfId="3" applyNumberFormat="1" applyFont="1" applyBorder="1"/>
    <xf numFmtId="20" fontId="26" fillId="0" borderId="2" xfId="1" quotePrefix="1" applyNumberFormat="1" applyFont="1" applyBorder="1" applyAlignment="1">
      <alignment horizontal="center"/>
    </xf>
    <xf numFmtId="0" fontId="0" fillId="0" borderId="0" xfId="0" applyAlignment="1">
      <alignment horizontal="center"/>
    </xf>
    <xf numFmtId="166" fontId="24" fillId="4" borderId="2" xfId="0" applyNumberFormat="1" applyFont="1" applyFill="1" applyBorder="1" applyAlignment="1">
      <alignment horizontal="left" vertical="center"/>
    </xf>
    <xf numFmtId="0" fontId="58" fillId="0" borderId="2" xfId="0" applyFont="1" applyBorder="1"/>
    <xf numFmtId="0" fontId="24" fillId="0" borderId="9" xfId="1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/>
    </xf>
    <xf numFmtId="0" fontId="33" fillId="0" borderId="2" xfId="0" applyFont="1" applyBorder="1" applyAlignment="1">
      <alignment horizontal="left" vertical="center"/>
    </xf>
    <xf numFmtId="2" fontId="22" fillId="0" borderId="9" xfId="1" applyNumberFormat="1" applyFont="1" applyBorder="1" applyAlignment="1">
      <alignment horizontal="center" vertical="center"/>
    </xf>
    <xf numFmtId="2" fontId="22" fillId="0" borderId="10" xfId="1" applyNumberFormat="1" applyFont="1" applyBorder="1" applyAlignment="1">
      <alignment horizontal="center" vertical="center"/>
    </xf>
    <xf numFmtId="0" fontId="24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0" fontId="21" fillId="0" borderId="0" xfId="1" applyFont="1" applyAlignment="1">
      <alignment horizontal="center" vertical="center"/>
    </xf>
    <xf numFmtId="0" fontId="22" fillId="0" borderId="0" xfId="1" applyFont="1" applyAlignment="1">
      <alignment horizontal="left" vertical="center"/>
    </xf>
    <xf numFmtId="0" fontId="17" fillId="0" borderId="0" xfId="0" applyFont="1" applyAlignment="1">
      <alignment horizontal="left" wrapText="1"/>
    </xf>
    <xf numFmtId="0" fontId="24" fillId="2" borderId="3" xfId="1" applyFont="1" applyFill="1" applyBorder="1" applyAlignment="1">
      <alignment horizontal="center" vertical="center" wrapText="1"/>
    </xf>
    <xf numFmtId="0" fontId="24" fillId="2" borderId="4" xfId="1" applyFont="1" applyFill="1" applyBorder="1" applyAlignment="1">
      <alignment horizontal="center" vertical="center"/>
    </xf>
    <xf numFmtId="0" fontId="24" fillId="2" borderId="4" xfId="1" applyFont="1" applyFill="1" applyBorder="1" applyAlignment="1">
      <alignment horizontal="center" vertical="center" wrapText="1"/>
    </xf>
    <xf numFmtId="0" fontId="24" fillId="2" borderId="5" xfId="1" applyFont="1" applyFill="1" applyBorder="1" applyAlignment="1">
      <alignment horizontal="center" vertical="center"/>
    </xf>
    <xf numFmtId="0" fontId="27" fillId="0" borderId="0" xfId="1" applyFont="1" applyAlignment="1">
      <alignment horizontal="center"/>
    </xf>
    <xf numFmtId="0" fontId="28" fillId="0" borderId="0" xfId="1" applyFont="1" applyAlignment="1">
      <alignment horizontal="center"/>
    </xf>
    <xf numFmtId="0" fontId="32" fillId="0" borderId="0" xfId="0" applyFont="1" applyAlignment="1">
      <alignment horizontal="center"/>
    </xf>
    <xf numFmtId="0" fontId="24" fillId="0" borderId="6" xfId="1" applyFont="1" applyBorder="1" applyAlignment="1">
      <alignment horizontal="center" wrapText="1"/>
    </xf>
    <xf numFmtId="0" fontId="24" fillId="0" borderId="2" xfId="1" applyFont="1" applyBorder="1" applyAlignment="1">
      <alignment horizontal="center"/>
    </xf>
    <xf numFmtId="0" fontId="24" fillId="0" borderId="8" xfId="1" applyFont="1" applyBorder="1" applyAlignment="1">
      <alignment horizontal="center" vertical="center" wrapText="1"/>
    </xf>
    <xf numFmtId="0" fontId="24" fillId="0" borderId="9" xfId="1" applyFont="1" applyBorder="1" applyAlignment="1">
      <alignment horizontal="center" vertical="center" wrapText="1"/>
    </xf>
    <xf numFmtId="0" fontId="28" fillId="2" borderId="3" xfId="1" applyFont="1" applyFill="1" applyBorder="1" applyAlignment="1">
      <alignment horizontal="center"/>
    </xf>
    <xf numFmtId="0" fontId="28" fillId="2" borderId="4" xfId="1" applyFont="1" applyFill="1" applyBorder="1" applyAlignment="1">
      <alignment horizontal="center"/>
    </xf>
    <xf numFmtId="0" fontId="26" fillId="0" borderId="2" xfId="1" applyFont="1" applyBorder="1" applyAlignment="1">
      <alignment horizontal="left"/>
    </xf>
    <xf numFmtId="0" fontId="22" fillId="0" borderId="9" xfId="1" applyFont="1" applyBorder="1" applyAlignment="1">
      <alignment horizontal="left" vertical="top"/>
    </xf>
    <xf numFmtId="0" fontId="24" fillId="0" borderId="2" xfId="1" applyFont="1" applyBorder="1" applyAlignment="1">
      <alignment horizontal="center" wrapText="1"/>
    </xf>
    <xf numFmtId="0" fontId="24" fillId="0" borderId="7" xfId="1" applyFont="1" applyBorder="1" applyAlignment="1">
      <alignment horizontal="center" wrapText="1"/>
    </xf>
    <xf numFmtId="0" fontId="39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0" fontId="34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35" fillId="0" borderId="0" xfId="1" applyFont="1" applyAlignment="1">
      <alignment horizontal="center" vertical="center"/>
    </xf>
    <xf numFmtId="0" fontId="28" fillId="0" borderId="0" xfId="1" applyFont="1" applyAlignment="1">
      <alignment horizontal="left" vertical="center"/>
    </xf>
    <xf numFmtId="0" fontId="24" fillId="0" borderId="0" xfId="1" applyFont="1" applyAlignment="1">
      <alignment horizontal="left"/>
    </xf>
    <xf numFmtId="0" fontId="40" fillId="0" borderId="0" xfId="1" applyFont="1" applyAlignment="1">
      <alignment horizontal="left"/>
    </xf>
    <xf numFmtId="0" fontId="38" fillId="3" borderId="12" xfId="1" applyFont="1" applyFill="1" applyBorder="1" applyAlignment="1">
      <alignment horizontal="center"/>
    </xf>
    <xf numFmtId="0" fontId="38" fillId="3" borderId="13" xfId="1" applyFont="1" applyFill="1" applyBorder="1" applyAlignment="1">
      <alignment horizontal="center"/>
    </xf>
    <xf numFmtId="0" fontId="38" fillId="3" borderId="14" xfId="1" applyFont="1" applyFill="1" applyBorder="1" applyAlignment="1">
      <alignment horizontal="center"/>
    </xf>
    <xf numFmtId="0" fontId="43" fillId="3" borderId="15" xfId="1" applyFont="1" applyFill="1" applyBorder="1" applyAlignment="1">
      <alignment horizontal="center" vertical="center"/>
    </xf>
    <xf numFmtId="0" fontId="43" fillId="3" borderId="2" xfId="1" applyFont="1" applyFill="1" applyBorder="1" applyAlignment="1">
      <alignment horizontal="center" vertical="center"/>
    </xf>
    <xf numFmtId="0" fontId="44" fillId="3" borderId="2" xfId="1" applyFont="1" applyFill="1" applyBorder="1" applyAlignment="1">
      <alignment horizontal="center" vertical="center"/>
    </xf>
    <xf numFmtId="0" fontId="44" fillId="3" borderId="16" xfId="1" applyFont="1" applyFill="1" applyBorder="1" applyAlignment="1">
      <alignment horizontal="center" vertical="center"/>
    </xf>
    <xf numFmtId="0" fontId="38" fillId="0" borderId="15" xfId="1" applyFont="1" applyBorder="1" applyAlignment="1">
      <alignment horizontal="center"/>
    </xf>
    <xf numFmtId="0" fontId="38" fillId="0" borderId="2" xfId="1" applyFont="1" applyBorder="1" applyAlignment="1">
      <alignment horizontal="center"/>
    </xf>
    <xf numFmtId="0" fontId="43" fillId="0" borderId="15" xfId="1" applyFont="1" applyBorder="1" applyAlignment="1">
      <alignment horizontal="center"/>
    </xf>
    <xf numFmtId="0" fontId="43" fillId="0" borderId="2" xfId="1" applyFont="1" applyBorder="1" applyAlignment="1">
      <alignment horizontal="center"/>
    </xf>
    <xf numFmtId="0" fontId="39" fillId="0" borderId="15" xfId="1" applyFont="1" applyBorder="1" applyAlignment="1">
      <alignment horizontal="center" vertical="center" wrapText="1"/>
    </xf>
    <xf numFmtId="0" fontId="39" fillId="0" borderId="2" xfId="1" applyFont="1" applyBorder="1" applyAlignment="1">
      <alignment horizontal="center" vertical="center" wrapText="1"/>
    </xf>
    <xf numFmtId="0" fontId="39" fillId="0" borderId="2" xfId="1" applyFont="1" applyBorder="1" applyAlignment="1">
      <alignment horizontal="center" vertical="center"/>
    </xf>
    <xf numFmtId="167" fontId="39" fillId="0" borderId="2" xfId="1" applyNumberFormat="1" applyFont="1" applyBorder="1" applyAlignment="1">
      <alignment horizontal="center" vertical="center"/>
    </xf>
    <xf numFmtId="170" fontId="45" fillId="0" borderId="2" xfId="1" applyNumberFormat="1" applyFont="1" applyBorder="1" applyAlignment="1">
      <alignment horizontal="center" vertical="center"/>
    </xf>
    <xf numFmtId="168" fontId="45" fillId="0" borderId="2" xfId="1" applyNumberFormat="1" applyFont="1" applyBorder="1" applyAlignment="1">
      <alignment horizontal="center" vertical="center"/>
    </xf>
    <xf numFmtId="169" fontId="8" fillId="0" borderId="20" xfId="3" applyNumberFormat="1" applyFont="1" applyBorder="1" applyAlignment="1">
      <alignment horizontal="center" vertical="center" wrapText="1"/>
    </xf>
    <xf numFmtId="169" fontId="8" fillId="0" borderId="21" xfId="3" applyNumberFormat="1" applyFont="1" applyBorder="1" applyAlignment="1">
      <alignment horizontal="center" vertical="center" wrapText="1"/>
    </xf>
    <xf numFmtId="0" fontId="39" fillId="3" borderId="17" xfId="1" applyFont="1" applyFill="1" applyBorder="1" applyAlignment="1">
      <alignment horizontal="center" vertical="center"/>
    </xf>
    <xf numFmtId="0" fontId="39" fillId="3" borderId="18" xfId="1" applyFont="1" applyFill="1" applyBorder="1" applyAlignment="1">
      <alignment horizontal="center" vertical="center"/>
    </xf>
    <xf numFmtId="170" fontId="39" fillId="3" borderId="18" xfId="1" applyNumberFormat="1" applyFont="1" applyFill="1" applyBorder="1" applyAlignment="1">
      <alignment horizontal="center" vertical="center"/>
    </xf>
    <xf numFmtId="168" fontId="44" fillId="3" borderId="18" xfId="2" applyNumberFormat="1" applyFont="1" applyFill="1" applyBorder="1" applyAlignment="1">
      <alignment horizontal="center" vertical="center"/>
    </xf>
    <xf numFmtId="0" fontId="45" fillId="0" borderId="0" xfId="1" applyFont="1" applyAlignment="1">
      <alignment horizontal="left"/>
    </xf>
    <xf numFmtId="0" fontId="44" fillId="0" borderId="0" xfId="1" applyFont="1" applyAlignment="1">
      <alignment horizontal="left"/>
    </xf>
    <xf numFmtId="170" fontId="8" fillId="0" borderId="2" xfId="3" applyNumberFormat="1" applyFont="1" applyBorder="1" applyAlignment="1">
      <alignment horizontal="right" vertical="center"/>
    </xf>
    <xf numFmtId="166" fontId="36" fillId="0" borderId="0" xfId="3" applyNumberFormat="1" applyFont="1" applyAlignment="1">
      <alignment horizontal="center"/>
    </xf>
    <xf numFmtId="0" fontId="38" fillId="0" borderId="0" xfId="1" applyFont="1" applyAlignment="1">
      <alignment horizontal="center"/>
    </xf>
    <xf numFmtId="0" fontId="34" fillId="0" borderId="0" xfId="1" quotePrefix="1" applyFont="1" applyAlignment="1">
      <alignment horizontal="left" vertical="center"/>
    </xf>
    <xf numFmtId="0" fontId="34" fillId="0" borderId="0" xfId="1" applyFont="1" applyAlignment="1">
      <alignment horizontal="left" vertical="center"/>
    </xf>
    <xf numFmtId="0" fontId="39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54" fillId="0" borderId="0" xfId="1" applyFont="1" applyAlignment="1">
      <alignment horizontal="center"/>
    </xf>
    <xf numFmtId="0" fontId="44" fillId="0" borderId="0" xfId="1" applyFont="1" applyAlignment="1">
      <alignment horizontal="center"/>
    </xf>
    <xf numFmtId="0" fontId="8" fillId="0" borderId="15" xfId="1" applyFont="1" applyBorder="1" applyAlignment="1">
      <alignment horizontal="center" wrapText="1"/>
    </xf>
    <xf numFmtId="0" fontId="8" fillId="0" borderId="2" xfId="1" applyFont="1" applyBorder="1" applyAlignment="1">
      <alignment horizontal="center"/>
    </xf>
    <xf numFmtId="0" fontId="8" fillId="0" borderId="2" xfId="1" applyFont="1" applyBorder="1" applyAlignment="1">
      <alignment horizontal="center" wrapText="1"/>
    </xf>
    <xf numFmtId="0" fontId="8" fillId="0" borderId="16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/>
    </xf>
    <xf numFmtId="0" fontId="8" fillId="2" borderId="13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13" fillId="0" borderId="15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13" fillId="0" borderId="17" xfId="1" applyFont="1" applyBorder="1" applyAlignment="1">
      <alignment horizontal="center" vertical="center" wrapText="1"/>
    </xf>
    <xf numFmtId="0" fontId="13" fillId="0" borderId="18" xfId="1" applyFont="1" applyBorder="1" applyAlignment="1">
      <alignment horizontal="center" vertical="center" wrapText="1"/>
    </xf>
    <xf numFmtId="165" fontId="15" fillId="0" borderId="2" xfId="4" applyNumberFormat="1" applyFont="1" applyBorder="1" applyAlignment="1">
      <alignment horizontal="center" vertical="center" wrapText="1"/>
    </xf>
    <xf numFmtId="165" fontId="15" fillId="0" borderId="18" xfId="4" applyNumberFormat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2" fontId="5" fillId="0" borderId="2" xfId="1" applyNumberFormat="1" applyFont="1" applyBorder="1" applyAlignment="1">
      <alignment horizontal="center" vertical="center"/>
    </xf>
    <xf numFmtId="2" fontId="5" fillId="0" borderId="18" xfId="1" applyNumberFormat="1" applyFont="1" applyBorder="1" applyAlignment="1">
      <alignment horizontal="center" vertical="center"/>
    </xf>
    <xf numFmtId="170" fontId="8" fillId="0" borderId="2" xfId="3" applyNumberFormat="1" applyFont="1" applyBorder="1" applyAlignment="1">
      <alignment horizontal="center" vertical="center"/>
    </xf>
    <xf numFmtId="170" fontId="8" fillId="0" borderId="16" xfId="3" applyNumberFormat="1" applyFont="1" applyBorder="1" applyAlignment="1">
      <alignment horizontal="center" vertical="center"/>
    </xf>
    <xf numFmtId="170" fontId="8" fillId="0" borderId="18" xfId="3" applyNumberFormat="1" applyFont="1" applyBorder="1" applyAlignment="1">
      <alignment horizontal="center" vertical="center"/>
    </xf>
    <xf numFmtId="170" fontId="8" fillId="0" borderId="19" xfId="3" applyNumberFormat="1" applyFont="1" applyBorder="1" applyAlignment="1">
      <alignment horizontal="center" vertical="center"/>
    </xf>
    <xf numFmtId="0" fontId="8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left"/>
    </xf>
    <xf numFmtId="0" fontId="9" fillId="0" borderId="0" xfId="1" applyFont="1" applyAlignment="1">
      <alignment horizontal="center"/>
    </xf>
    <xf numFmtId="0" fontId="18" fillId="0" borderId="0" xfId="1" applyFont="1" applyAlignment="1">
      <alignment horizontal="center"/>
    </xf>
  </cellXfs>
  <cellStyles count="5">
    <cellStyle name="Comma" xfId="3" builtinId="3"/>
    <cellStyle name="Comma 2 2" xfId="4"/>
    <cellStyle name="Comma 3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579120</xdr:colOff>
      <xdr:row>1</xdr:row>
      <xdr:rowOff>0</xdr:rowOff>
    </xdr:from>
    <xdr:to>
      <xdr:col>4</xdr:col>
      <xdr:colOff>1314450</xdr:colOff>
      <xdr:row>7</xdr:row>
      <xdr:rowOff>55511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44A563-7D83-4688-84C5-A9BB2ADF23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72" t="7465" r="754" b="3892"/>
        <a:stretch/>
      </xdr:blipFill>
      <xdr:spPr>
        <a:xfrm>
          <a:off x="807720" y="200025"/>
          <a:ext cx="6688455" cy="12556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48578</xdr:colOff>
      <xdr:row>43</xdr:row>
      <xdr:rowOff>381001</xdr:rowOff>
    </xdr:from>
    <xdr:to>
      <xdr:col>1</xdr:col>
      <xdr:colOff>45902</xdr:colOff>
      <xdr:row>43</xdr:row>
      <xdr:rowOff>403861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F2FB437-25EA-4C3D-828D-E56E99355D96}"/>
            </a:ext>
          </a:extLst>
        </xdr:cNvPr>
        <xdr:cNvSpPr/>
      </xdr:nvSpPr>
      <xdr:spPr>
        <a:xfrm>
          <a:off x="48578" y="8401051"/>
          <a:ext cx="130674" cy="228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52388</xdr:colOff>
      <xdr:row>43</xdr:row>
      <xdr:rowOff>381001</xdr:rowOff>
    </xdr:from>
    <xdr:to>
      <xdr:col>11</xdr:col>
      <xdr:colOff>44793</xdr:colOff>
      <xdr:row>43</xdr:row>
      <xdr:rowOff>403861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EE09753-FB1B-473D-BB79-CECFDD79F454}"/>
            </a:ext>
          </a:extLst>
        </xdr:cNvPr>
        <xdr:cNvSpPr/>
      </xdr:nvSpPr>
      <xdr:spPr>
        <a:xfrm>
          <a:off x="5986463" y="8401051"/>
          <a:ext cx="1340193" cy="228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</xdr:colOff>
      <xdr:row>0</xdr:row>
      <xdr:rowOff>68580</xdr:rowOff>
    </xdr:from>
    <xdr:to>
      <xdr:col>7</xdr:col>
      <xdr:colOff>434649</xdr:colOff>
      <xdr:row>6</xdr:row>
      <xdr:rowOff>146497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72" t="7465" r="754" b="3892"/>
        <a:stretch/>
      </xdr:blipFill>
      <xdr:spPr>
        <a:xfrm>
          <a:off x="20955" y="68580"/>
          <a:ext cx="6242994" cy="12209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604838</xdr:colOff>
      <xdr:row>22</xdr:row>
      <xdr:rowOff>61912</xdr:rowOff>
    </xdr:from>
    <xdr:to>
      <xdr:col>6</xdr:col>
      <xdr:colOff>490538</xdr:colOff>
      <xdr:row>27</xdr:row>
      <xdr:rowOff>138113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66E68D-1252-447A-B939-17CA67FE0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8" y="6181725"/>
          <a:ext cx="5815013" cy="1147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hong/ktt/DIS/dungquat/goi3/Form%20nop%20thau/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PROJECT/PROP/DA0630/INQ'Y/STEEL/DA0463BQ.XLW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hong/ktt/DIS/Dung%20Quat/Nhom%20GC/New%20Folder/My%20Documents/3533/99Q/99Q3657/99Q3299(REV.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hong/ktt/DIS/DOCUMENT/DAUTHAU/Dungquat/GOI3/DUNGQUAT-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hong/ktt/DIS/Dung%20Quat/Nhom%20GC/New%20Folder/My%20Documents/3533/99Q/99Q3657/99Q3299(REV.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Phong/ktt/DIS/Dung%20Quat/Nhom%20GC/New%20Folder/My%20Documents/3533/96Q/96q2588/PANE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PROJECT/WINDOWS/TEMP/IBASE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Phong/ktt/DIS/CS3408/Standard/RP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 FORM FOR INQUIRY"/>
      <sheetName val="FORM OF PROPOSAL RFP-003"/>
      <sheetName val="__-BLDG"/>
      <sheetName val="_______-BLDG"/>
      <sheetName val="Disch"/>
      <sheetName val="Pack"/>
      <sheetName val="Delivery"/>
      <sheetName val="M50"/>
      <sheetName val="M48"/>
      <sheetName val="M45"/>
      <sheetName val="M38"/>
      <sheetName val="D.Order"/>
      <sheetName val="Report"/>
      <sheetName val="Report.Delivery"/>
      <sheetName val="Monthly"/>
      <sheetName val="00000000"/>
      <sheetName val="Q1-02"/>
      <sheetName val="Q2-02"/>
      <sheetName val="Q3-02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Sheet3"/>
      <sheetName val="Sheet2"/>
      <sheetName val="Sheet1"/>
      <sheetName val="BCDPS"/>
      <sheetName val="NKC "/>
      <sheetName val="TM1"/>
      <sheetName val="SC 111"/>
      <sheetName val="NH"/>
      <sheetName val="SC 131"/>
      <sheetName val="SC 133"/>
      <sheetName val="SC 141"/>
      <sheetName val="SC 152"/>
      <sheetName val="SC154"/>
      <sheetName val="SC 331"/>
      <sheetName val="SC333"/>
      <sheetName val="Sc 334"/>
      <sheetName val="SC 411"/>
      <sheetName val="SC 511"/>
      <sheetName val="SC 642 loan"/>
      <sheetName val="SCT642"/>
      <sheetName val="211A"/>
      <sheetName val="211B"/>
      <sheetName val="SCT511"/>
      <sheetName val="SCT627"/>
      <sheetName val="SCT154"/>
      <sheetName val="Hoi phu nu"/>
      <sheetName val="4p1"/>
      <sheetName val="4P"/>
      <sheetName val="Schneider"/>
      <sheetName val="Du toan"/>
      <sheetName val="Phan tich vat tu"/>
      <sheetName val="Tong hop vat tu"/>
      <sheetName val="Gia tri vat tu"/>
      <sheetName val="Chenh lech vat tu"/>
      <sheetName val="Chi phi van chuyen"/>
      <sheetName val="Don gia chi tiet"/>
      <sheetName val="Du thau"/>
      <sheetName val="Tong hop kinh phi"/>
      <sheetName val="Tu van Thiet ke"/>
      <sheetName val="Tien do thi cong"/>
      <sheetName val="Bia du toan"/>
      <sheetName val="Tro giup"/>
      <sheetName val="Config"/>
      <sheetName val="________BLDG"/>
      <sheetName val="____-BLDG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10000000"/>
      <sheetName val="Apr1"/>
      <sheetName val="Apr2"/>
      <sheetName val="Apr3"/>
      <sheetName val="Apr4"/>
      <sheetName val="Apr5"/>
      <sheetName val="Apr7"/>
      <sheetName val="Apr8"/>
      <sheetName val="Apr9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Phan tich VT"/>
      <sheetName val="TKe VT"/>
      <sheetName val="Du tru Vat tu"/>
      <sheetName val="Overhead &amp; Profit B-1"/>
      <sheetName val="Bia "/>
      <sheetName val="Muc luc"/>
      <sheetName val="Thuyet minh PA1"/>
      <sheetName val="kl xaychan kh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Disch"/>
      <sheetName val="Pack"/>
      <sheetName val="Delivery"/>
      <sheetName val="M50"/>
      <sheetName val="M48"/>
      <sheetName val="M45"/>
      <sheetName val="M38"/>
      <sheetName val="D.Order"/>
      <sheetName val="Report"/>
      <sheetName val="Report.Delivery"/>
      <sheetName val="Monthly"/>
      <sheetName val="0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01"/>
      <sheetName val="DO01"/>
      <sheetName val="DO2"/>
      <sheetName val="2"/>
      <sheetName val="3"/>
      <sheetName val="do3"/>
      <sheetName val="XL4Poppy"/>
      <sheetName val="PANEL"/>
    </sheetNames>
    <definedNames>
      <definedName name="DataFilter"/>
      <definedName name="DataSort"/>
      <definedName name="GoBack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NEW-PANEL"/>
    </sheetNames>
    <sheetDataSet>
      <sheetData sheetId="0" refreshError="1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Disch"/>
      <sheetName val="Pack"/>
      <sheetName val="Delivery"/>
      <sheetName val="M50"/>
      <sheetName val="M48"/>
      <sheetName val="M45"/>
      <sheetName val="M38"/>
      <sheetName val="D.Order"/>
      <sheetName val="Report"/>
      <sheetName val="Report.Delivery"/>
      <sheetName val="Monthly"/>
      <sheetName val="00000000"/>
      <sheetName val="I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25"/>
  <sheetViews>
    <sheetView tabSelected="1" workbookViewId="0">
      <selection activeCell="F15" sqref="F15"/>
    </sheetView>
  </sheetViews>
  <sheetFormatPr defaultColWidth="9.140625" defaultRowHeight="15" x14ac:dyDescent="0.25"/>
  <cols>
    <col min="1" max="1" width="31.28515625" style="41" customWidth="1"/>
    <col min="2" max="2" width="9.28515625" style="69" customWidth="1"/>
    <col min="3" max="3" width="38.140625" style="41" customWidth="1"/>
    <col min="4" max="16384" width="9.140625" style="41"/>
  </cols>
  <sheetData>
    <row r="2" spans="1:6" x14ac:dyDescent="0.25">
      <c r="A2" s="77" t="s">
        <v>111</v>
      </c>
      <c r="B2" s="77" t="s">
        <v>119</v>
      </c>
      <c r="C2" s="77" t="s">
        <v>112</v>
      </c>
    </row>
    <row r="3" spans="1:6" x14ac:dyDescent="0.25">
      <c r="A3" s="70" t="s">
        <v>99</v>
      </c>
      <c r="B3" s="80"/>
      <c r="C3" s="70" t="s">
        <v>168</v>
      </c>
    </row>
    <row r="4" spans="1:6" x14ac:dyDescent="0.25">
      <c r="A4" s="70" t="s">
        <v>56</v>
      </c>
      <c r="B4" s="80"/>
      <c r="C4" s="129" t="s">
        <v>160</v>
      </c>
    </row>
    <row r="5" spans="1:6" ht="16.5" x14ac:dyDescent="0.3">
      <c r="A5" s="70" t="s">
        <v>98</v>
      </c>
      <c r="B5" s="80"/>
      <c r="C5" s="136" t="s">
        <v>161</v>
      </c>
    </row>
    <row r="6" spans="1:6" x14ac:dyDescent="0.25">
      <c r="A6" s="70" t="s">
        <v>108</v>
      </c>
      <c r="B6" s="80"/>
      <c r="C6" s="70"/>
      <c r="F6" s="41" t="s">
        <v>38</v>
      </c>
    </row>
    <row r="7" spans="1:6" x14ac:dyDescent="0.25">
      <c r="A7" s="137" t="s">
        <v>109</v>
      </c>
      <c r="B7" s="80" t="s">
        <v>117</v>
      </c>
      <c r="C7" s="90">
        <v>64</v>
      </c>
    </row>
    <row r="8" spans="1:6" x14ac:dyDescent="0.25">
      <c r="A8" s="137"/>
      <c r="B8" s="80" t="s">
        <v>118</v>
      </c>
      <c r="C8" s="130">
        <v>2226130</v>
      </c>
    </row>
    <row r="9" spans="1:6" x14ac:dyDescent="0.25">
      <c r="A9" s="128" t="s">
        <v>144</v>
      </c>
      <c r="B9" s="80" t="s">
        <v>118</v>
      </c>
      <c r="C9" s="90">
        <v>523000</v>
      </c>
      <c r="F9" s="41" t="s">
        <v>38</v>
      </c>
    </row>
    <row r="10" spans="1:6" x14ac:dyDescent="0.25">
      <c r="A10" s="128" t="s">
        <v>145</v>
      </c>
      <c r="B10" s="80" t="s">
        <v>118</v>
      </c>
      <c r="C10" s="90"/>
    </row>
    <row r="11" spans="1:6" x14ac:dyDescent="0.25">
      <c r="A11" s="128" t="s">
        <v>146</v>
      </c>
      <c r="B11" s="80" t="s">
        <v>118</v>
      </c>
      <c r="C11" s="90">
        <v>1703130</v>
      </c>
    </row>
    <row r="12" spans="1:6" ht="15.75" x14ac:dyDescent="0.25">
      <c r="A12" s="73" t="s">
        <v>147</v>
      </c>
      <c r="B12" s="81"/>
      <c r="C12" s="133" t="s">
        <v>162</v>
      </c>
      <c r="D12" s="20"/>
    </row>
    <row r="13" spans="1:6" ht="15.75" x14ac:dyDescent="0.25">
      <c r="A13" s="71" t="s">
        <v>113</v>
      </c>
      <c r="B13" s="81"/>
      <c r="C13" s="72" t="s">
        <v>123</v>
      </c>
      <c r="D13" s="20"/>
    </row>
    <row r="14" spans="1:6" ht="15.75" x14ac:dyDescent="0.25">
      <c r="A14" s="73" t="s">
        <v>100</v>
      </c>
      <c r="B14" s="82"/>
      <c r="C14" s="74" t="s">
        <v>158</v>
      </c>
      <c r="D14" s="20"/>
    </row>
    <row r="15" spans="1:6" ht="15.75" x14ac:dyDescent="0.25">
      <c r="A15" s="71" t="s">
        <v>101</v>
      </c>
      <c r="B15" s="82" t="s">
        <v>38</v>
      </c>
      <c r="C15" s="74" t="s">
        <v>163</v>
      </c>
      <c r="D15" s="23"/>
      <c r="F15" s="41" t="s">
        <v>38</v>
      </c>
    </row>
    <row r="16" spans="1:6" ht="15.4" customHeight="1" x14ac:dyDescent="0.3">
      <c r="A16" s="71" t="s">
        <v>102</v>
      </c>
      <c r="B16" s="83"/>
      <c r="C16" s="134" t="s">
        <v>172</v>
      </c>
      <c r="D16" s="42"/>
    </row>
    <row r="17" spans="1:5" ht="15.4" customHeight="1" x14ac:dyDescent="0.25">
      <c r="A17" s="75" t="s">
        <v>110</v>
      </c>
      <c r="B17" s="76"/>
      <c r="C17" s="76"/>
      <c r="D17" s="42"/>
    </row>
    <row r="18" spans="1:5" ht="15.75" x14ac:dyDescent="0.25">
      <c r="A18" s="71" t="s">
        <v>103</v>
      </c>
      <c r="B18" s="131" t="s">
        <v>165</v>
      </c>
      <c r="C18" s="85" t="s">
        <v>164</v>
      </c>
      <c r="D18" s="20"/>
    </row>
    <row r="19" spans="1:5" ht="15.75" x14ac:dyDescent="0.25">
      <c r="A19" s="71" t="s">
        <v>104</v>
      </c>
      <c r="B19" s="131" t="s">
        <v>167</v>
      </c>
      <c r="C19" s="85" t="s">
        <v>164</v>
      </c>
      <c r="D19" s="20"/>
    </row>
    <row r="20" spans="1:5" ht="15.75" x14ac:dyDescent="0.25">
      <c r="A20" s="71" t="s">
        <v>105</v>
      </c>
      <c r="B20" s="131" t="s">
        <v>166</v>
      </c>
      <c r="C20" s="85" t="s">
        <v>164</v>
      </c>
      <c r="D20" s="20"/>
    </row>
    <row r="21" spans="1:5" ht="15.75" x14ac:dyDescent="0.25">
      <c r="A21" s="71" t="s">
        <v>106</v>
      </c>
      <c r="B21" s="131" t="s">
        <v>170</v>
      </c>
      <c r="C21" s="85" t="s">
        <v>169</v>
      </c>
    </row>
    <row r="22" spans="1:5" ht="15.75" x14ac:dyDescent="0.25">
      <c r="A22" s="70" t="s">
        <v>107</v>
      </c>
      <c r="B22" s="131" t="s">
        <v>171</v>
      </c>
      <c r="C22" s="85" t="s">
        <v>169</v>
      </c>
    </row>
    <row r="23" spans="1:5" x14ac:dyDescent="0.25">
      <c r="A23" s="78" t="s">
        <v>116</v>
      </c>
      <c r="B23" s="84"/>
      <c r="C23" s="79"/>
    </row>
    <row r="24" spans="1:5" x14ac:dyDescent="0.25">
      <c r="A24" s="70" t="s">
        <v>114</v>
      </c>
      <c r="B24" s="80" t="s">
        <v>115</v>
      </c>
      <c r="C24" s="70">
        <v>14</v>
      </c>
    </row>
    <row r="25" spans="1:5" x14ac:dyDescent="0.25">
      <c r="A25" s="70" t="s">
        <v>120</v>
      </c>
      <c r="B25" s="80" t="s">
        <v>121</v>
      </c>
      <c r="C25" s="70"/>
      <c r="E25" s="41" t="s">
        <v>38</v>
      </c>
    </row>
  </sheetData>
  <mergeCells count="1">
    <mergeCell ref="A7:A8"/>
  </mergeCells>
  <phoneticPr fontId="51" type="noConversion"/>
  <pageMargins left="0.7" right="0.7" top="0.75" bottom="0.75" header="0.3" footer="0.3"/>
  <pageSetup paperSize="9"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9:O40"/>
  <sheetViews>
    <sheetView topLeftCell="A22" zoomScaleNormal="100" workbookViewId="0">
      <selection activeCell="E16" sqref="E16"/>
    </sheetView>
  </sheetViews>
  <sheetFormatPr defaultColWidth="8.85546875" defaultRowHeight="15.75" x14ac:dyDescent="0.25"/>
  <cols>
    <col min="1" max="1" width="3.42578125" style="21" customWidth="1"/>
    <col min="2" max="2" width="29.42578125" style="21" customWidth="1"/>
    <col min="3" max="3" width="31.28515625" style="21" customWidth="1"/>
    <col min="4" max="4" width="28.5703125" style="21" customWidth="1"/>
    <col min="5" max="5" width="34.7109375" style="21" customWidth="1"/>
    <col min="6" max="7" width="12.5703125" style="21" customWidth="1"/>
    <col min="8" max="10" width="15.7109375" style="21" customWidth="1"/>
    <col min="11" max="16384" width="8.85546875" style="21"/>
  </cols>
  <sheetData>
    <row r="9" spans="1:15" s="17" customFormat="1" ht="23.25" x14ac:dyDescent="0.35">
      <c r="A9" s="141" t="s">
        <v>80</v>
      </c>
      <c r="B9" s="141"/>
      <c r="C9" s="141"/>
      <c r="D9" s="141"/>
      <c r="E9" s="141"/>
      <c r="F9" s="141"/>
      <c r="G9" s="141"/>
      <c r="H9" s="16"/>
      <c r="I9" s="16"/>
    </row>
    <row r="10" spans="1:15" s="17" customFormat="1" ht="19.899999999999999" customHeight="1" x14ac:dyDescent="0.35">
      <c r="A10" s="142" t="s">
        <v>81</v>
      </c>
      <c r="B10" s="142"/>
      <c r="C10" s="142"/>
      <c r="D10" s="142"/>
      <c r="E10" s="142"/>
      <c r="F10" s="142"/>
      <c r="G10" s="142"/>
      <c r="H10" s="18"/>
      <c r="I10" s="18"/>
    </row>
    <row r="11" spans="1:15" ht="25.15" customHeight="1" x14ac:dyDescent="0.25">
      <c r="A11" s="19"/>
      <c r="B11" s="20" t="s">
        <v>82</v>
      </c>
      <c r="C11" s="20"/>
      <c r="D11" s="143" t="str">
        <f>'Thong so chung'!C12</f>
        <v>SG 10678</v>
      </c>
      <c r="E11" s="143"/>
      <c r="F11" s="143"/>
      <c r="G11" s="143"/>
      <c r="H11" s="20"/>
      <c r="I11" s="20"/>
    </row>
    <row r="12" spans="1:15" ht="25.15" customHeight="1" x14ac:dyDescent="0.25">
      <c r="A12" s="19"/>
      <c r="B12" s="22" t="s">
        <v>83</v>
      </c>
      <c r="C12" s="20"/>
      <c r="D12" s="23" t="str">
        <f>'Thong so chung'!C14</f>
        <v>Cảng Nguyên Ngọc - TPHCM</v>
      </c>
      <c r="E12" s="23"/>
      <c r="F12" s="23"/>
      <c r="G12" s="20"/>
      <c r="H12" s="20"/>
      <c r="I12" s="20"/>
    </row>
    <row r="13" spans="1:15" ht="25.15" customHeight="1" x14ac:dyDescent="0.25">
      <c r="A13" s="19"/>
      <c r="B13" s="20" t="s">
        <v>84</v>
      </c>
      <c r="C13" s="20"/>
      <c r="D13" s="143" t="str">
        <f>'Thong so chung'!C15</f>
        <v>PHAO THIỀNG LIỀNG</v>
      </c>
      <c r="E13" s="143"/>
      <c r="F13" s="143"/>
      <c r="G13" s="143"/>
      <c r="H13" s="20"/>
      <c r="I13" s="20"/>
    </row>
    <row r="14" spans="1:15" ht="25.15" customHeight="1" x14ac:dyDescent="0.4">
      <c r="A14" s="19"/>
      <c r="B14" s="20" t="s">
        <v>85</v>
      </c>
      <c r="C14" s="20"/>
      <c r="D14" s="144" t="str">
        <f>'Thong so chung'!C16</f>
        <v>XIN XIANG SEA</v>
      </c>
      <c r="E14" s="144"/>
      <c r="F14" s="144"/>
      <c r="G14" s="144"/>
      <c r="H14" s="15"/>
      <c r="I14" s="15"/>
      <c r="J14" s="15"/>
      <c r="K14" s="15"/>
      <c r="L14" s="15"/>
      <c r="M14" s="15"/>
      <c r="N14" s="15"/>
      <c r="O14" s="15"/>
    </row>
    <row r="15" spans="1:15" ht="25.15" customHeight="1" x14ac:dyDescent="0.25">
      <c r="A15" s="19"/>
      <c r="B15" s="20" t="s">
        <v>86</v>
      </c>
      <c r="C15" s="20"/>
      <c r="D15" s="25" t="str">
        <f>'Thong so chung'!B18&amp;","&amp;" "&amp;"Ngày"&amp;" "&amp;'Thong so chung'!C18</f>
        <v>06:48, Ngày 31/05/2026</v>
      </c>
      <c r="E15" s="25"/>
      <c r="F15" s="25"/>
      <c r="G15" s="20"/>
      <c r="H15" s="20"/>
      <c r="I15" s="20"/>
    </row>
    <row r="16" spans="1:15" ht="25.15" customHeight="1" x14ac:dyDescent="0.25">
      <c r="A16" s="20"/>
      <c r="B16" s="20" t="s">
        <v>87</v>
      </c>
      <c r="C16" s="20"/>
      <c r="D16" s="25" t="str">
        <f>'Thong so chung'!B19&amp;","&amp;" "&amp;"Ngày"&amp;" "&amp;'Thong so chung'!C19</f>
        <v>08:00, Ngày 31/05/2026</v>
      </c>
      <c r="E16" s="25"/>
      <c r="F16" s="25"/>
      <c r="G16" s="20"/>
      <c r="H16" s="20"/>
      <c r="I16" s="20"/>
    </row>
    <row r="17" spans="1:9" ht="25.15" customHeight="1" x14ac:dyDescent="0.25">
      <c r="A17" s="20"/>
      <c r="B17" s="20" t="s">
        <v>88</v>
      </c>
      <c r="C17" s="20"/>
      <c r="D17" s="25" t="str">
        <f>'Thong so chung'!B20&amp;","&amp;" "&amp;"Ngày"&amp;" "&amp;'Thong so chung'!C20</f>
        <v>08:56, Ngày 31/05/2026</v>
      </c>
      <c r="E17" s="25"/>
      <c r="F17" s="25"/>
      <c r="G17" s="20"/>
      <c r="H17" s="20"/>
      <c r="I17" s="20"/>
    </row>
    <row r="18" spans="1:9" ht="16.899999999999999" customHeight="1" thickBot="1" x14ac:dyDescent="0.3">
      <c r="A18" s="20"/>
      <c r="B18" s="20"/>
      <c r="C18" s="20"/>
      <c r="D18" s="20" t="s">
        <v>89</v>
      </c>
      <c r="E18" s="20"/>
      <c r="F18" s="20"/>
      <c r="G18" s="20"/>
      <c r="H18" s="20"/>
      <c r="I18" s="20"/>
    </row>
    <row r="19" spans="1:9" ht="33.6" customHeight="1" thickTop="1" x14ac:dyDescent="0.25">
      <c r="A19" s="145" t="s">
        <v>90</v>
      </c>
      <c r="B19" s="146"/>
      <c r="C19" s="146"/>
      <c r="D19" s="147" t="s">
        <v>91</v>
      </c>
      <c r="E19" s="147"/>
      <c r="F19" s="147"/>
      <c r="G19" s="148"/>
      <c r="H19" s="26"/>
      <c r="I19" s="26"/>
    </row>
    <row r="20" spans="1:9" ht="31.9" customHeight="1" x14ac:dyDescent="0.25">
      <c r="A20" s="152" t="s">
        <v>92</v>
      </c>
      <c r="B20" s="153"/>
      <c r="C20" s="99" t="s">
        <v>93</v>
      </c>
      <c r="D20" s="99" t="s">
        <v>94</v>
      </c>
      <c r="E20" s="160" t="s">
        <v>95</v>
      </c>
      <c r="F20" s="160"/>
      <c r="G20" s="161"/>
      <c r="H20" s="20"/>
      <c r="I20" s="20"/>
    </row>
    <row r="21" spans="1:9" ht="49.9" customHeight="1" thickBot="1" x14ac:dyDescent="0.3">
      <c r="A21" s="154" t="str">
        <f>'Thong so chung'!C4</f>
        <v>CÔNG TY EASTWOOD ENERGY</v>
      </c>
      <c r="B21" s="155"/>
      <c r="C21" s="135" t="str">
        <f>'Thong so chung'!C5</f>
        <v>VIÊN NÉN GỖ (SBP Compliant Biomass)</v>
      </c>
      <c r="D21" s="112"/>
      <c r="E21" s="138"/>
      <c r="F21" s="138"/>
      <c r="G21" s="139"/>
      <c r="H21" s="27"/>
      <c r="I21" s="27"/>
    </row>
    <row r="22" spans="1:9" ht="18" customHeight="1" thickTop="1" thickBot="1" x14ac:dyDescent="0.3">
      <c r="A22" s="109"/>
      <c r="B22" s="109"/>
      <c r="C22" s="110"/>
      <c r="D22" s="110"/>
      <c r="E22" s="110"/>
      <c r="F22" s="110"/>
      <c r="G22" s="111"/>
      <c r="H22" s="27"/>
      <c r="I22" s="27"/>
    </row>
    <row r="23" spans="1:9" ht="16.899999999999999" customHeight="1" thickTop="1" x14ac:dyDescent="0.25">
      <c r="A23" s="156" t="s">
        <v>142</v>
      </c>
      <c r="B23" s="157"/>
      <c r="C23" s="157"/>
      <c r="D23" s="157"/>
      <c r="E23" s="157"/>
      <c r="F23" s="113" t="s">
        <v>140</v>
      </c>
      <c r="G23" s="114" t="s">
        <v>141</v>
      </c>
      <c r="H23" s="28"/>
      <c r="I23" s="28"/>
    </row>
    <row r="24" spans="1:9" ht="16.899999999999999" customHeight="1" x14ac:dyDescent="0.25">
      <c r="A24" s="101">
        <v>1</v>
      </c>
      <c r="B24" s="158" t="s">
        <v>136</v>
      </c>
      <c r="C24" s="158"/>
      <c r="D24" s="158"/>
      <c r="E24" s="158"/>
      <c r="F24" s="71"/>
      <c r="G24" s="102"/>
      <c r="H24" s="22"/>
      <c r="I24" s="22"/>
    </row>
    <row r="25" spans="1:9" ht="16.899999999999999" customHeight="1" x14ac:dyDescent="0.25">
      <c r="A25" s="103">
        <v>2</v>
      </c>
      <c r="B25" s="158" t="s">
        <v>137</v>
      </c>
      <c r="C25" s="158"/>
      <c r="D25" s="158"/>
      <c r="E25" s="158"/>
      <c r="F25" s="100"/>
      <c r="G25" s="104"/>
      <c r="H25" s="30"/>
      <c r="I25" s="30"/>
    </row>
    <row r="26" spans="1:9" ht="16.899999999999999" customHeight="1" x14ac:dyDescent="0.25">
      <c r="A26" s="101">
        <v>3</v>
      </c>
      <c r="B26" s="158" t="s">
        <v>138</v>
      </c>
      <c r="C26" s="158"/>
      <c r="D26" s="158"/>
      <c r="E26" s="158"/>
      <c r="F26" s="71"/>
      <c r="G26" s="105"/>
      <c r="H26" s="23"/>
      <c r="I26" s="23"/>
    </row>
    <row r="27" spans="1:9" ht="56.65" customHeight="1" thickBot="1" x14ac:dyDescent="0.3">
      <c r="A27" s="106">
        <v>4</v>
      </c>
      <c r="B27" s="159" t="s">
        <v>139</v>
      </c>
      <c r="C27" s="159"/>
      <c r="D27" s="159"/>
      <c r="E27" s="159"/>
      <c r="F27" s="107"/>
      <c r="G27" s="108"/>
      <c r="H27" s="23"/>
      <c r="I27" s="23"/>
    </row>
    <row r="28" spans="1:9" ht="16.899999999999999" customHeight="1" thickTop="1" x14ac:dyDescent="0.25">
      <c r="A28" s="25"/>
      <c r="B28" s="20"/>
      <c r="C28" s="30"/>
      <c r="D28" s="22"/>
      <c r="E28" s="22"/>
      <c r="F28" s="22"/>
      <c r="G28" s="22"/>
      <c r="H28" s="23"/>
      <c r="I28" s="23"/>
    </row>
    <row r="29" spans="1:9" ht="16.899999999999999" customHeight="1" x14ac:dyDescent="0.25">
      <c r="A29" s="32" t="s">
        <v>96</v>
      </c>
      <c r="B29" s="23"/>
      <c r="C29" s="23"/>
      <c r="D29" s="23"/>
      <c r="E29" s="23"/>
      <c r="F29" s="23"/>
      <c r="G29" s="23"/>
      <c r="H29" s="23"/>
      <c r="I29" s="23"/>
    </row>
    <row r="30" spans="1:9" ht="16.899999999999999" customHeight="1" x14ac:dyDescent="0.25">
      <c r="A30" s="33" t="s">
        <v>97</v>
      </c>
      <c r="B30" s="23"/>
      <c r="C30" s="34"/>
      <c r="D30" s="23"/>
      <c r="E30" s="23"/>
      <c r="F30" s="23"/>
      <c r="G30" s="23"/>
      <c r="H30" s="23"/>
      <c r="I30" s="23"/>
    </row>
    <row r="31" spans="1:9" ht="16.899999999999999" customHeight="1" x14ac:dyDescent="0.25">
      <c r="A31" s="35"/>
      <c r="B31" s="35"/>
      <c r="C31" s="35"/>
      <c r="D31" s="35"/>
      <c r="E31" s="35"/>
      <c r="F31" s="35"/>
      <c r="G31" s="35"/>
    </row>
    <row r="32" spans="1:9" ht="16.899999999999999" customHeight="1" x14ac:dyDescent="0.25">
      <c r="B32" s="140" t="s">
        <v>30</v>
      </c>
      <c r="C32" s="140"/>
      <c r="D32" s="36"/>
      <c r="E32" s="140" t="s">
        <v>29</v>
      </c>
      <c r="F32" s="140"/>
      <c r="G32" s="140"/>
    </row>
    <row r="33" spans="2:7" ht="16.899999999999999" customHeight="1" x14ac:dyDescent="0.25">
      <c r="B33" s="149" t="s">
        <v>31</v>
      </c>
      <c r="C33" s="149"/>
      <c r="D33" s="30"/>
      <c r="E33" s="149" t="s">
        <v>26</v>
      </c>
      <c r="F33" s="149"/>
      <c r="G33" s="149"/>
    </row>
    <row r="34" spans="2:7" ht="16.5" customHeight="1" x14ac:dyDescent="0.25">
      <c r="B34" s="140" t="s">
        <v>27</v>
      </c>
      <c r="C34" s="140"/>
      <c r="D34" s="30"/>
      <c r="E34" s="150" t="s">
        <v>27</v>
      </c>
      <c r="F34" s="150"/>
      <c r="G34" s="150"/>
    </row>
    <row r="35" spans="2:7" ht="12" hidden="1" customHeight="1" x14ac:dyDescent="0.25"/>
    <row r="36" spans="2:7" ht="4.5" hidden="1" customHeight="1" x14ac:dyDescent="0.25"/>
    <row r="37" spans="2:7" ht="13.5" hidden="1" customHeight="1" x14ac:dyDescent="0.25"/>
    <row r="38" spans="2:7" ht="90.75" customHeight="1" x14ac:dyDescent="0.25">
      <c r="B38" s="151"/>
      <c r="C38" s="151"/>
      <c r="G38" s="39"/>
    </row>
    <row r="40" spans="2:7" x14ac:dyDescent="0.25">
      <c r="B40" s="151"/>
      <c r="C40" s="151"/>
      <c r="D40" s="40"/>
      <c r="E40" s="40"/>
      <c r="F40" s="40"/>
    </row>
  </sheetData>
  <mergeCells count="24">
    <mergeCell ref="E33:G33"/>
    <mergeCell ref="E34:G34"/>
    <mergeCell ref="B40:C40"/>
    <mergeCell ref="D11:G11"/>
    <mergeCell ref="A20:B20"/>
    <mergeCell ref="A21:B21"/>
    <mergeCell ref="B32:C32"/>
    <mergeCell ref="B33:C33"/>
    <mergeCell ref="B34:C34"/>
    <mergeCell ref="B38:C38"/>
    <mergeCell ref="A23:E23"/>
    <mergeCell ref="B24:E24"/>
    <mergeCell ref="B25:E25"/>
    <mergeCell ref="B26:E26"/>
    <mergeCell ref="B27:E27"/>
    <mergeCell ref="E20:G20"/>
    <mergeCell ref="E21:G21"/>
    <mergeCell ref="E32:G32"/>
    <mergeCell ref="A9:G9"/>
    <mergeCell ref="A10:G10"/>
    <mergeCell ref="D13:G13"/>
    <mergeCell ref="D14:G14"/>
    <mergeCell ref="A19:C19"/>
    <mergeCell ref="D19:G19"/>
  </mergeCells>
  <pageMargins left="0.25" right="0.25" top="0.75" bottom="0.75" header="0.3" footer="0.3"/>
  <pageSetup paperSize="9" scale="6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44"/>
  <sheetViews>
    <sheetView view="pageBreakPreview" topLeftCell="A10" zoomScale="115" zoomScaleNormal="100" zoomScaleSheetLayoutView="115" workbookViewId="0">
      <selection activeCell="N21" sqref="N21"/>
    </sheetView>
  </sheetViews>
  <sheetFormatPr defaultColWidth="9.28515625" defaultRowHeight="15.75" x14ac:dyDescent="0.25"/>
  <cols>
    <col min="1" max="1" width="1.85546875" style="20" customWidth="1"/>
    <col min="2" max="2" width="5.7109375" style="20" customWidth="1"/>
    <col min="3" max="3" width="17" style="20" bestFit="1" customWidth="1"/>
    <col min="4" max="4" width="10" style="20" customWidth="1"/>
    <col min="5" max="5" width="11.42578125" style="20" customWidth="1"/>
    <col min="6" max="6" width="7.7109375" style="20" customWidth="1"/>
    <col min="7" max="7" width="6.42578125" style="20" customWidth="1"/>
    <col min="8" max="8" width="8.7109375" style="20" customWidth="1"/>
    <col min="9" max="9" width="9.42578125" style="20" customWidth="1"/>
    <col min="10" max="10" width="19.7109375" style="20" customWidth="1"/>
    <col min="11" max="11" width="18.85546875" style="20" customWidth="1"/>
    <col min="12" max="12" width="11.85546875" style="20" customWidth="1"/>
    <col min="13" max="13" width="6" style="20" customWidth="1"/>
    <col min="14" max="14" width="9.42578125" style="20" bestFit="1" customWidth="1"/>
    <col min="15" max="15" width="14.5703125" style="20" customWidth="1"/>
    <col min="16" max="16" width="3.85546875" style="20" customWidth="1"/>
    <col min="17" max="18" width="9.28515625" style="20"/>
    <col min="19" max="19" width="9.5703125" style="20" customWidth="1"/>
    <col min="20" max="20" width="17.7109375" style="20" customWidth="1"/>
    <col min="21" max="21" width="15" style="20" customWidth="1"/>
    <col min="22" max="256" width="9.28515625" style="20"/>
    <col min="257" max="257" width="1.85546875" style="20" customWidth="1"/>
    <col min="258" max="258" width="5.7109375" style="20" customWidth="1"/>
    <col min="259" max="259" width="7.7109375" style="20" customWidth="1"/>
    <col min="260" max="260" width="10" style="20" customWidth="1"/>
    <col min="261" max="261" width="11.42578125" style="20" customWidth="1"/>
    <col min="262" max="262" width="7.7109375" style="20" customWidth="1"/>
    <col min="263" max="263" width="6.42578125" style="20" customWidth="1"/>
    <col min="264" max="264" width="6.5703125" style="20" customWidth="1"/>
    <col min="265" max="265" width="5.85546875" style="20" customWidth="1"/>
    <col min="266" max="266" width="19.7109375" style="20" customWidth="1"/>
    <col min="267" max="267" width="18.85546875" style="20" customWidth="1"/>
    <col min="268" max="268" width="11.85546875" style="20" customWidth="1"/>
    <col min="269" max="269" width="6" style="20" customWidth="1"/>
    <col min="270" max="270" width="9.42578125" style="20" bestFit="1" customWidth="1"/>
    <col min="271" max="271" width="14.5703125" style="20" customWidth="1"/>
    <col min="272" max="272" width="3.85546875" style="20" customWidth="1"/>
    <col min="273" max="274" width="9.28515625" style="20"/>
    <col min="275" max="275" width="9.5703125" style="20" customWidth="1"/>
    <col min="276" max="276" width="17.7109375" style="20" customWidth="1"/>
    <col min="277" max="277" width="15" style="20" customWidth="1"/>
    <col min="278" max="512" width="9.28515625" style="20"/>
    <col min="513" max="513" width="1.85546875" style="20" customWidth="1"/>
    <col min="514" max="514" width="5.7109375" style="20" customWidth="1"/>
    <col min="515" max="515" width="7.7109375" style="20" customWidth="1"/>
    <col min="516" max="516" width="10" style="20" customWidth="1"/>
    <col min="517" max="517" width="11.42578125" style="20" customWidth="1"/>
    <col min="518" max="518" width="7.7109375" style="20" customWidth="1"/>
    <col min="519" max="519" width="6.42578125" style="20" customWidth="1"/>
    <col min="520" max="520" width="6.5703125" style="20" customWidth="1"/>
    <col min="521" max="521" width="5.85546875" style="20" customWidth="1"/>
    <col min="522" max="522" width="19.7109375" style="20" customWidth="1"/>
    <col min="523" max="523" width="18.85546875" style="20" customWidth="1"/>
    <col min="524" max="524" width="11.85546875" style="20" customWidth="1"/>
    <col min="525" max="525" width="6" style="20" customWidth="1"/>
    <col min="526" max="526" width="9.42578125" style="20" bestFit="1" customWidth="1"/>
    <col min="527" max="527" width="14.5703125" style="20" customWidth="1"/>
    <col min="528" max="528" width="3.85546875" style="20" customWidth="1"/>
    <col min="529" max="530" width="9.28515625" style="20"/>
    <col min="531" max="531" width="9.5703125" style="20" customWidth="1"/>
    <col min="532" max="532" width="17.7109375" style="20" customWidth="1"/>
    <col min="533" max="533" width="15" style="20" customWidth="1"/>
    <col min="534" max="768" width="9.28515625" style="20"/>
    <col min="769" max="769" width="1.85546875" style="20" customWidth="1"/>
    <col min="770" max="770" width="5.7109375" style="20" customWidth="1"/>
    <col min="771" max="771" width="7.7109375" style="20" customWidth="1"/>
    <col min="772" max="772" width="10" style="20" customWidth="1"/>
    <col min="773" max="773" width="11.42578125" style="20" customWidth="1"/>
    <col min="774" max="774" width="7.7109375" style="20" customWidth="1"/>
    <col min="775" max="775" width="6.42578125" style="20" customWidth="1"/>
    <col min="776" max="776" width="6.5703125" style="20" customWidth="1"/>
    <col min="777" max="777" width="5.85546875" style="20" customWidth="1"/>
    <col min="778" max="778" width="19.7109375" style="20" customWidth="1"/>
    <col min="779" max="779" width="18.85546875" style="20" customWidth="1"/>
    <col min="780" max="780" width="11.85546875" style="20" customWidth="1"/>
    <col min="781" max="781" width="6" style="20" customWidth="1"/>
    <col min="782" max="782" width="9.42578125" style="20" bestFit="1" customWidth="1"/>
    <col min="783" max="783" width="14.5703125" style="20" customWidth="1"/>
    <col min="784" max="784" width="3.85546875" style="20" customWidth="1"/>
    <col min="785" max="786" width="9.28515625" style="20"/>
    <col min="787" max="787" width="9.5703125" style="20" customWidth="1"/>
    <col min="788" max="788" width="17.7109375" style="20" customWidth="1"/>
    <col min="789" max="789" width="15" style="20" customWidth="1"/>
    <col min="790" max="1024" width="9.28515625" style="20"/>
    <col min="1025" max="1025" width="1.85546875" style="20" customWidth="1"/>
    <col min="1026" max="1026" width="5.7109375" style="20" customWidth="1"/>
    <col min="1027" max="1027" width="7.7109375" style="20" customWidth="1"/>
    <col min="1028" max="1028" width="10" style="20" customWidth="1"/>
    <col min="1029" max="1029" width="11.42578125" style="20" customWidth="1"/>
    <col min="1030" max="1030" width="7.7109375" style="20" customWidth="1"/>
    <col min="1031" max="1031" width="6.42578125" style="20" customWidth="1"/>
    <col min="1032" max="1032" width="6.5703125" style="20" customWidth="1"/>
    <col min="1033" max="1033" width="5.85546875" style="20" customWidth="1"/>
    <col min="1034" max="1034" width="19.7109375" style="20" customWidth="1"/>
    <col min="1035" max="1035" width="18.85546875" style="20" customWidth="1"/>
    <col min="1036" max="1036" width="11.85546875" style="20" customWidth="1"/>
    <col min="1037" max="1037" width="6" style="20" customWidth="1"/>
    <col min="1038" max="1038" width="9.42578125" style="20" bestFit="1" customWidth="1"/>
    <col min="1039" max="1039" width="14.5703125" style="20" customWidth="1"/>
    <col min="1040" max="1040" width="3.85546875" style="20" customWidth="1"/>
    <col min="1041" max="1042" width="9.28515625" style="20"/>
    <col min="1043" max="1043" width="9.5703125" style="20" customWidth="1"/>
    <col min="1044" max="1044" width="17.7109375" style="20" customWidth="1"/>
    <col min="1045" max="1045" width="15" style="20" customWidth="1"/>
    <col min="1046" max="1280" width="9.28515625" style="20"/>
    <col min="1281" max="1281" width="1.85546875" style="20" customWidth="1"/>
    <col min="1282" max="1282" width="5.7109375" style="20" customWidth="1"/>
    <col min="1283" max="1283" width="7.7109375" style="20" customWidth="1"/>
    <col min="1284" max="1284" width="10" style="20" customWidth="1"/>
    <col min="1285" max="1285" width="11.42578125" style="20" customWidth="1"/>
    <col min="1286" max="1286" width="7.7109375" style="20" customWidth="1"/>
    <col min="1287" max="1287" width="6.42578125" style="20" customWidth="1"/>
    <col min="1288" max="1288" width="6.5703125" style="20" customWidth="1"/>
    <col min="1289" max="1289" width="5.85546875" style="20" customWidth="1"/>
    <col min="1290" max="1290" width="19.7109375" style="20" customWidth="1"/>
    <col min="1291" max="1291" width="18.85546875" style="20" customWidth="1"/>
    <col min="1292" max="1292" width="11.85546875" style="20" customWidth="1"/>
    <col min="1293" max="1293" width="6" style="20" customWidth="1"/>
    <col min="1294" max="1294" width="9.42578125" style="20" bestFit="1" customWidth="1"/>
    <col min="1295" max="1295" width="14.5703125" style="20" customWidth="1"/>
    <col min="1296" max="1296" width="3.85546875" style="20" customWidth="1"/>
    <col min="1297" max="1298" width="9.28515625" style="20"/>
    <col min="1299" max="1299" width="9.5703125" style="20" customWidth="1"/>
    <col min="1300" max="1300" width="17.7109375" style="20" customWidth="1"/>
    <col min="1301" max="1301" width="15" style="20" customWidth="1"/>
    <col min="1302" max="1536" width="9.28515625" style="20"/>
    <col min="1537" max="1537" width="1.85546875" style="20" customWidth="1"/>
    <col min="1538" max="1538" width="5.7109375" style="20" customWidth="1"/>
    <col min="1539" max="1539" width="7.7109375" style="20" customWidth="1"/>
    <col min="1540" max="1540" width="10" style="20" customWidth="1"/>
    <col min="1541" max="1541" width="11.42578125" style="20" customWidth="1"/>
    <col min="1542" max="1542" width="7.7109375" style="20" customWidth="1"/>
    <col min="1543" max="1543" width="6.42578125" style="20" customWidth="1"/>
    <col min="1544" max="1544" width="6.5703125" style="20" customWidth="1"/>
    <col min="1545" max="1545" width="5.85546875" style="20" customWidth="1"/>
    <col min="1546" max="1546" width="19.7109375" style="20" customWidth="1"/>
    <col min="1547" max="1547" width="18.85546875" style="20" customWidth="1"/>
    <col min="1548" max="1548" width="11.85546875" style="20" customWidth="1"/>
    <col min="1549" max="1549" width="6" style="20" customWidth="1"/>
    <col min="1550" max="1550" width="9.42578125" style="20" bestFit="1" customWidth="1"/>
    <col min="1551" max="1551" width="14.5703125" style="20" customWidth="1"/>
    <col min="1552" max="1552" width="3.85546875" style="20" customWidth="1"/>
    <col min="1553" max="1554" width="9.28515625" style="20"/>
    <col min="1555" max="1555" width="9.5703125" style="20" customWidth="1"/>
    <col min="1556" max="1556" width="17.7109375" style="20" customWidth="1"/>
    <col min="1557" max="1557" width="15" style="20" customWidth="1"/>
    <col min="1558" max="1792" width="9.28515625" style="20"/>
    <col min="1793" max="1793" width="1.85546875" style="20" customWidth="1"/>
    <col min="1794" max="1794" width="5.7109375" style="20" customWidth="1"/>
    <col min="1795" max="1795" width="7.7109375" style="20" customWidth="1"/>
    <col min="1796" max="1796" width="10" style="20" customWidth="1"/>
    <col min="1797" max="1797" width="11.42578125" style="20" customWidth="1"/>
    <col min="1798" max="1798" width="7.7109375" style="20" customWidth="1"/>
    <col min="1799" max="1799" width="6.42578125" style="20" customWidth="1"/>
    <col min="1800" max="1800" width="6.5703125" style="20" customWidth="1"/>
    <col min="1801" max="1801" width="5.85546875" style="20" customWidth="1"/>
    <col min="1802" max="1802" width="19.7109375" style="20" customWidth="1"/>
    <col min="1803" max="1803" width="18.85546875" style="20" customWidth="1"/>
    <col min="1804" max="1804" width="11.85546875" style="20" customWidth="1"/>
    <col min="1805" max="1805" width="6" style="20" customWidth="1"/>
    <col min="1806" max="1806" width="9.42578125" style="20" bestFit="1" customWidth="1"/>
    <col min="1807" max="1807" width="14.5703125" style="20" customWidth="1"/>
    <col min="1808" max="1808" width="3.85546875" style="20" customWidth="1"/>
    <col min="1809" max="1810" width="9.28515625" style="20"/>
    <col min="1811" max="1811" width="9.5703125" style="20" customWidth="1"/>
    <col min="1812" max="1812" width="17.7109375" style="20" customWidth="1"/>
    <col min="1813" max="1813" width="15" style="20" customWidth="1"/>
    <col min="1814" max="2048" width="9.28515625" style="20"/>
    <col min="2049" max="2049" width="1.85546875" style="20" customWidth="1"/>
    <col min="2050" max="2050" width="5.7109375" style="20" customWidth="1"/>
    <col min="2051" max="2051" width="7.7109375" style="20" customWidth="1"/>
    <col min="2052" max="2052" width="10" style="20" customWidth="1"/>
    <col min="2053" max="2053" width="11.42578125" style="20" customWidth="1"/>
    <col min="2054" max="2054" width="7.7109375" style="20" customWidth="1"/>
    <col min="2055" max="2055" width="6.42578125" style="20" customWidth="1"/>
    <col min="2056" max="2056" width="6.5703125" style="20" customWidth="1"/>
    <col min="2057" max="2057" width="5.85546875" style="20" customWidth="1"/>
    <col min="2058" max="2058" width="19.7109375" style="20" customWidth="1"/>
    <col min="2059" max="2059" width="18.85546875" style="20" customWidth="1"/>
    <col min="2060" max="2060" width="11.85546875" style="20" customWidth="1"/>
    <col min="2061" max="2061" width="6" style="20" customWidth="1"/>
    <col min="2062" max="2062" width="9.42578125" style="20" bestFit="1" customWidth="1"/>
    <col min="2063" max="2063" width="14.5703125" style="20" customWidth="1"/>
    <col min="2064" max="2064" width="3.85546875" style="20" customWidth="1"/>
    <col min="2065" max="2066" width="9.28515625" style="20"/>
    <col min="2067" max="2067" width="9.5703125" style="20" customWidth="1"/>
    <col min="2068" max="2068" width="17.7109375" style="20" customWidth="1"/>
    <col min="2069" max="2069" width="15" style="20" customWidth="1"/>
    <col min="2070" max="2304" width="9.28515625" style="20"/>
    <col min="2305" max="2305" width="1.85546875" style="20" customWidth="1"/>
    <col min="2306" max="2306" width="5.7109375" style="20" customWidth="1"/>
    <col min="2307" max="2307" width="7.7109375" style="20" customWidth="1"/>
    <col min="2308" max="2308" width="10" style="20" customWidth="1"/>
    <col min="2309" max="2309" width="11.42578125" style="20" customWidth="1"/>
    <col min="2310" max="2310" width="7.7109375" style="20" customWidth="1"/>
    <col min="2311" max="2311" width="6.42578125" style="20" customWidth="1"/>
    <col min="2312" max="2312" width="6.5703125" style="20" customWidth="1"/>
    <col min="2313" max="2313" width="5.85546875" style="20" customWidth="1"/>
    <col min="2314" max="2314" width="19.7109375" style="20" customWidth="1"/>
    <col min="2315" max="2315" width="18.85546875" style="20" customWidth="1"/>
    <col min="2316" max="2316" width="11.85546875" style="20" customWidth="1"/>
    <col min="2317" max="2317" width="6" style="20" customWidth="1"/>
    <col min="2318" max="2318" width="9.42578125" style="20" bestFit="1" customWidth="1"/>
    <col min="2319" max="2319" width="14.5703125" style="20" customWidth="1"/>
    <col min="2320" max="2320" width="3.85546875" style="20" customWidth="1"/>
    <col min="2321" max="2322" width="9.28515625" style="20"/>
    <col min="2323" max="2323" width="9.5703125" style="20" customWidth="1"/>
    <col min="2324" max="2324" width="17.7109375" style="20" customWidth="1"/>
    <col min="2325" max="2325" width="15" style="20" customWidth="1"/>
    <col min="2326" max="2560" width="9.28515625" style="20"/>
    <col min="2561" max="2561" width="1.85546875" style="20" customWidth="1"/>
    <col min="2562" max="2562" width="5.7109375" style="20" customWidth="1"/>
    <col min="2563" max="2563" width="7.7109375" style="20" customWidth="1"/>
    <col min="2564" max="2564" width="10" style="20" customWidth="1"/>
    <col min="2565" max="2565" width="11.42578125" style="20" customWidth="1"/>
    <col min="2566" max="2566" width="7.7109375" style="20" customWidth="1"/>
    <col min="2567" max="2567" width="6.42578125" style="20" customWidth="1"/>
    <col min="2568" max="2568" width="6.5703125" style="20" customWidth="1"/>
    <col min="2569" max="2569" width="5.85546875" style="20" customWidth="1"/>
    <col min="2570" max="2570" width="19.7109375" style="20" customWidth="1"/>
    <col min="2571" max="2571" width="18.85546875" style="20" customWidth="1"/>
    <col min="2572" max="2572" width="11.85546875" style="20" customWidth="1"/>
    <col min="2573" max="2573" width="6" style="20" customWidth="1"/>
    <col min="2574" max="2574" width="9.42578125" style="20" bestFit="1" customWidth="1"/>
    <col min="2575" max="2575" width="14.5703125" style="20" customWidth="1"/>
    <col min="2576" max="2576" width="3.85546875" style="20" customWidth="1"/>
    <col min="2577" max="2578" width="9.28515625" style="20"/>
    <col min="2579" max="2579" width="9.5703125" style="20" customWidth="1"/>
    <col min="2580" max="2580" width="17.7109375" style="20" customWidth="1"/>
    <col min="2581" max="2581" width="15" style="20" customWidth="1"/>
    <col min="2582" max="2816" width="9.28515625" style="20"/>
    <col min="2817" max="2817" width="1.85546875" style="20" customWidth="1"/>
    <col min="2818" max="2818" width="5.7109375" style="20" customWidth="1"/>
    <col min="2819" max="2819" width="7.7109375" style="20" customWidth="1"/>
    <col min="2820" max="2820" width="10" style="20" customWidth="1"/>
    <col min="2821" max="2821" width="11.42578125" style="20" customWidth="1"/>
    <col min="2822" max="2822" width="7.7109375" style="20" customWidth="1"/>
    <col min="2823" max="2823" width="6.42578125" style="20" customWidth="1"/>
    <col min="2824" max="2824" width="6.5703125" style="20" customWidth="1"/>
    <col min="2825" max="2825" width="5.85546875" style="20" customWidth="1"/>
    <col min="2826" max="2826" width="19.7109375" style="20" customWidth="1"/>
    <col min="2827" max="2827" width="18.85546875" style="20" customWidth="1"/>
    <col min="2828" max="2828" width="11.85546875" style="20" customWidth="1"/>
    <col min="2829" max="2829" width="6" style="20" customWidth="1"/>
    <col min="2830" max="2830" width="9.42578125" style="20" bestFit="1" customWidth="1"/>
    <col min="2831" max="2831" width="14.5703125" style="20" customWidth="1"/>
    <col min="2832" max="2832" width="3.85546875" style="20" customWidth="1"/>
    <col min="2833" max="2834" width="9.28515625" style="20"/>
    <col min="2835" max="2835" width="9.5703125" style="20" customWidth="1"/>
    <col min="2836" max="2836" width="17.7109375" style="20" customWidth="1"/>
    <col min="2837" max="2837" width="15" style="20" customWidth="1"/>
    <col min="2838" max="3072" width="9.28515625" style="20"/>
    <col min="3073" max="3073" width="1.85546875" style="20" customWidth="1"/>
    <col min="3074" max="3074" width="5.7109375" style="20" customWidth="1"/>
    <col min="3075" max="3075" width="7.7109375" style="20" customWidth="1"/>
    <col min="3076" max="3076" width="10" style="20" customWidth="1"/>
    <col min="3077" max="3077" width="11.42578125" style="20" customWidth="1"/>
    <col min="3078" max="3078" width="7.7109375" style="20" customWidth="1"/>
    <col min="3079" max="3079" width="6.42578125" style="20" customWidth="1"/>
    <col min="3080" max="3080" width="6.5703125" style="20" customWidth="1"/>
    <col min="3081" max="3081" width="5.85546875" style="20" customWidth="1"/>
    <col min="3082" max="3082" width="19.7109375" style="20" customWidth="1"/>
    <col min="3083" max="3083" width="18.85546875" style="20" customWidth="1"/>
    <col min="3084" max="3084" width="11.85546875" style="20" customWidth="1"/>
    <col min="3085" max="3085" width="6" style="20" customWidth="1"/>
    <col min="3086" max="3086" width="9.42578125" style="20" bestFit="1" customWidth="1"/>
    <col min="3087" max="3087" width="14.5703125" style="20" customWidth="1"/>
    <col min="3088" max="3088" width="3.85546875" style="20" customWidth="1"/>
    <col min="3089" max="3090" width="9.28515625" style="20"/>
    <col min="3091" max="3091" width="9.5703125" style="20" customWidth="1"/>
    <col min="3092" max="3092" width="17.7109375" style="20" customWidth="1"/>
    <col min="3093" max="3093" width="15" style="20" customWidth="1"/>
    <col min="3094" max="3328" width="9.28515625" style="20"/>
    <col min="3329" max="3329" width="1.85546875" style="20" customWidth="1"/>
    <col min="3330" max="3330" width="5.7109375" style="20" customWidth="1"/>
    <col min="3331" max="3331" width="7.7109375" style="20" customWidth="1"/>
    <col min="3332" max="3332" width="10" style="20" customWidth="1"/>
    <col min="3333" max="3333" width="11.42578125" style="20" customWidth="1"/>
    <col min="3334" max="3334" width="7.7109375" style="20" customWidth="1"/>
    <col min="3335" max="3335" width="6.42578125" style="20" customWidth="1"/>
    <col min="3336" max="3336" width="6.5703125" style="20" customWidth="1"/>
    <col min="3337" max="3337" width="5.85546875" style="20" customWidth="1"/>
    <col min="3338" max="3338" width="19.7109375" style="20" customWidth="1"/>
    <col min="3339" max="3339" width="18.85546875" style="20" customWidth="1"/>
    <col min="3340" max="3340" width="11.85546875" style="20" customWidth="1"/>
    <col min="3341" max="3341" width="6" style="20" customWidth="1"/>
    <col min="3342" max="3342" width="9.42578125" style="20" bestFit="1" customWidth="1"/>
    <col min="3343" max="3343" width="14.5703125" style="20" customWidth="1"/>
    <col min="3344" max="3344" width="3.85546875" style="20" customWidth="1"/>
    <col min="3345" max="3346" width="9.28515625" style="20"/>
    <col min="3347" max="3347" width="9.5703125" style="20" customWidth="1"/>
    <col min="3348" max="3348" width="17.7109375" style="20" customWidth="1"/>
    <col min="3349" max="3349" width="15" style="20" customWidth="1"/>
    <col min="3350" max="3584" width="9.28515625" style="20"/>
    <col min="3585" max="3585" width="1.85546875" style="20" customWidth="1"/>
    <col min="3586" max="3586" width="5.7109375" style="20" customWidth="1"/>
    <col min="3587" max="3587" width="7.7109375" style="20" customWidth="1"/>
    <col min="3588" max="3588" width="10" style="20" customWidth="1"/>
    <col min="3589" max="3589" width="11.42578125" style="20" customWidth="1"/>
    <col min="3590" max="3590" width="7.7109375" style="20" customWidth="1"/>
    <col min="3591" max="3591" width="6.42578125" style="20" customWidth="1"/>
    <col min="3592" max="3592" width="6.5703125" style="20" customWidth="1"/>
    <col min="3593" max="3593" width="5.85546875" style="20" customWidth="1"/>
    <col min="3594" max="3594" width="19.7109375" style="20" customWidth="1"/>
    <col min="3595" max="3595" width="18.85546875" style="20" customWidth="1"/>
    <col min="3596" max="3596" width="11.85546875" style="20" customWidth="1"/>
    <col min="3597" max="3597" width="6" style="20" customWidth="1"/>
    <col min="3598" max="3598" width="9.42578125" style="20" bestFit="1" customWidth="1"/>
    <col min="3599" max="3599" width="14.5703125" style="20" customWidth="1"/>
    <col min="3600" max="3600" width="3.85546875" style="20" customWidth="1"/>
    <col min="3601" max="3602" width="9.28515625" style="20"/>
    <col min="3603" max="3603" width="9.5703125" style="20" customWidth="1"/>
    <col min="3604" max="3604" width="17.7109375" style="20" customWidth="1"/>
    <col min="3605" max="3605" width="15" style="20" customWidth="1"/>
    <col min="3606" max="3840" width="9.28515625" style="20"/>
    <col min="3841" max="3841" width="1.85546875" style="20" customWidth="1"/>
    <col min="3842" max="3842" width="5.7109375" style="20" customWidth="1"/>
    <col min="3843" max="3843" width="7.7109375" style="20" customWidth="1"/>
    <col min="3844" max="3844" width="10" style="20" customWidth="1"/>
    <col min="3845" max="3845" width="11.42578125" style="20" customWidth="1"/>
    <col min="3846" max="3846" width="7.7109375" style="20" customWidth="1"/>
    <col min="3847" max="3847" width="6.42578125" style="20" customWidth="1"/>
    <col min="3848" max="3848" width="6.5703125" style="20" customWidth="1"/>
    <col min="3849" max="3849" width="5.85546875" style="20" customWidth="1"/>
    <col min="3850" max="3850" width="19.7109375" style="20" customWidth="1"/>
    <col min="3851" max="3851" width="18.85546875" style="20" customWidth="1"/>
    <col min="3852" max="3852" width="11.85546875" style="20" customWidth="1"/>
    <col min="3853" max="3853" width="6" style="20" customWidth="1"/>
    <col min="3854" max="3854" width="9.42578125" style="20" bestFit="1" customWidth="1"/>
    <col min="3855" max="3855" width="14.5703125" style="20" customWidth="1"/>
    <col min="3856" max="3856" width="3.85546875" style="20" customWidth="1"/>
    <col min="3857" max="3858" width="9.28515625" style="20"/>
    <col min="3859" max="3859" width="9.5703125" style="20" customWidth="1"/>
    <col min="3860" max="3860" width="17.7109375" style="20" customWidth="1"/>
    <col min="3861" max="3861" width="15" style="20" customWidth="1"/>
    <col min="3862" max="4096" width="9.28515625" style="20"/>
    <col min="4097" max="4097" width="1.85546875" style="20" customWidth="1"/>
    <col min="4098" max="4098" width="5.7109375" style="20" customWidth="1"/>
    <col min="4099" max="4099" width="7.7109375" style="20" customWidth="1"/>
    <col min="4100" max="4100" width="10" style="20" customWidth="1"/>
    <col min="4101" max="4101" width="11.42578125" style="20" customWidth="1"/>
    <col min="4102" max="4102" width="7.7109375" style="20" customWidth="1"/>
    <col min="4103" max="4103" width="6.42578125" style="20" customWidth="1"/>
    <col min="4104" max="4104" width="6.5703125" style="20" customWidth="1"/>
    <col min="4105" max="4105" width="5.85546875" style="20" customWidth="1"/>
    <col min="4106" max="4106" width="19.7109375" style="20" customWidth="1"/>
    <col min="4107" max="4107" width="18.85546875" style="20" customWidth="1"/>
    <col min="4108" max="4108" width="11.85546875" style="20" customWidth="1"/>
    <col min="4109" max="4109" width="6" style="20" customWidth="1"/>
    <col min="4110" max="4110" width="9.42578125" style="20" bestFit="1" customWidth="1"/>
    <col min="4111" max="4111" width="14.5703125" style="20" customWidth="1"/>
    <col min="4112" max="4112" width="3.85546875" style="20" customWidth="1"/>
    <col min="4113" max="4114" width="9.28515625" style="20"/>
    <col min="4115" max="4115" width="9.5703125" style="20" customWidth="1"/>
    <col min="4116" max="4116" width="17.7109375" style="20" customWidth="1"/>
    <col min="4117" max="4117" width="15" style="20" customWidth="1"/>
    <col min="4118" max="4352" width="9.28515625" style="20"/>
    <col min="4353" max="4353" width="1.85546875" style="20" customWidth="1"/>
    <col min="4354" max="4354" width="5.7109375" style="20" customWidth="1"/>
    <col min="4355" max="4355" width="7.7109375" style="20" customWidth="1"/>
    <col min="4356" max="4356" width="10" style="20" customWidth="1"/>
    <col min="4357" max="4357" width="11.42578125" style="20" customWidth="1"/>
    <col min="4358" max="4358" width="7.7109375" style="20" customWidth="1"/>
    <col min="4359" max="4359" width="6.42578125" style="20" customWidth="1"/>
    <col min="4360" max="4360" width="6.5703125" style="20" customWidth="1"/>
    <col min="4361" max="4361" width="5.85546875" style="20" customWidth="1"/>
    <col min="4362" max="4362" width="19.7109375" style="20" customWidth="1"/>
    <col min="4363" max="4363" width="18.85546875" style="20" customWidth="1"/>
    <col min="4364" max="4364" width="11.85546875" style="20" customWidth="1"/>
    <col min="4365" max="4365" width="6" style="20" customWidth="1"/>
    <col min="4366" max="4366" width="9.42578125" style="20" bestFit="1" customWidth="1"/>
    <col min="4367" max="4367" width="14.5703125" style="20" customWidth="1"/>
    <col min="4368" max="4368" width="3.85546875" style="20" customWidth="1"/>
    <col min="4369" max="4370" width="9.28515625" style="20"/>
    <col min="4371" max="4371" width="9.5703125" style="20" customWidth="1"/>
    <col min="4372" max="4372" width="17.7109375" style="20" customWidth="1"/>
    <col min="4373" max="4373" width="15" style="20" customWidth="1"/>
    <col min="4374" max="4608" width="9.28515625" style="20"/>
    <col min="4609" max="4609" width="1.85546875" style="20" customWidth="1"/>
    <col min="4610" max="4610" width="5.7109375" style="20" customWidth="1"/>
    <col min="4611" max="4611" width="7.7109375" style="20" customWidth="1"/>
    <col min="4612" max="4612" width="10" style="20" customWidth="1"/>
    <col min="4613" max="4613" width="11.42578125" style="20" customWidth="1"/>
    <col min="4614" max="4614" width="7.7109375" style="20" customWidth="1"/>
    <col min="4615" max="4615" width="6.42578125" style="20" customWidth="1"/>
    <col min="4616" max="4616" width="6.5703125" style="20" customWidth="1"/>
    <col min="4617" max="4617" width="5.85546875" style="20" customWidth="1"/>
    <col min="4618" max="4618" width="19.7109375" style="20" customWidth="1"/>
    <col min="4619" max="4619" width="18.85546875" style="20" customWidth="1"/>
    <col min="4620" max="4620" width="11.85546875" style="20" customWidth="1"/>
    <col min="4621" max="4621" width="6" style="20" customWidth="1"/>
    <col min="4622" max="4622" width="9.42578125" style="20" bestFit="1" customWidth="1"/>
    <col min="4623" max="4623" width="14.5703125" style="20" customWidth="1"/>
    <col min="4624" max="4624" width="3.85546875" style="20" customWidth="1"/>
    <col min="4625" max="4626" width="9.28515625" style="20"/>
    <col min="4627" max="4627" width="9.5703125" style="20" customWidth="1"/>
    <col min="4628" max="4628" width="17.7109375" style="20" customWidth="1"/>
    <col min="4629" max="4629" width="15" style="20" customWidth="1"/>
    <col min="4630" max="4864" width="9.28515625" style="20"/>
    <col min="4865" max="4865" width="1.85546875" style="20" customWidth="1"/>
    <col min="4866" max="4866" width="5.7109375" style="20" customWidth="1"/>
    <col min="4867" max="4867" width="7.7109375" style="20" customWidth="1"/>
    <col min="4868" max="4868" width="10" style="20" customWidth="1"/>
    <col min="4869" max="4869" width="11.42578125" style="20" customWidth="1"/>
    <col min="4870" max="4870" width="7.7109375" style="20" customWidth="1"/>
    <col min="4871" max="4871" width="6.42578125" style="20" customWidth="1"/>
    <col min="4872" max="4872" width="6.5703125" style="20" customWidth="1"/>
    <col min="4873" max="4873" width="5.85546875" style="20" customWidth="1"/>
    <col min="4874" max="4874" width="19.7109375" style="20" customWidth="1"/>
    <col min="4875" max="4875" width="18.85546875" style="20" customWidth="1"/>
    <col min="4876" max="4876" width="11.85546875" style="20" customWidth="1"/>
    <col min="4877" max="4877" width="6" style="20" customWidth="1"/>
    <col min="4878" max="4878" width="9.42578125" style="20" bestFit="1" customWidth="1"/>
    <col min="4879" max="4879" width="14.5703125" style="20" customWidth="1"/>
    <col min="4880" max="4880" width="3.85546875" style="20" customWidth="1"/>
    <col min="4881" max="4882" width="9.28515625" style="20"/>
    <col min="4883" max="4883" width="9.5703125" style="20" customWidth="1"/>
    <col min="4884" max="4884" width="17.7109375" style="20" customWidth="1"/>
    <col min="4885" max="4885" width="15" style="20" customWidth="1"/>
    <col min="4886" max="5120" width="9.28515625" style="20"/>
    <col min="5121" max="5121" width="1.85546875" style="20" customWidth="1"/>
    <col min="5122" max="5122" width="5.7109375" style="20" customWidth="1"/>
    <col min="5123" max="5123" width="7.7109375" style="20" customWidth="1"/>
    <col min="5124" max="5124" width="10" style="20" customWidth="1"/>
    <col min="5125" max="5125" width="11.42578125" style="20" customWidth="1"/>
    <col min="5126" max="5126" width="7.7109375" style="20" customWidth="1"/>
    <col min="5127" max="5127" width="6.42578125" style="20" customWidth="1"/>
    <col min="5128" max="5128" width="6.5703125" style="20" customWidth="1"/>
    <col min="5129" max="5129" width="5.85546875" style="20" customWidth="1"/>
    <col min="5130" max="5130" width="19.7109375" style="20" customWidth="1"/>
    <col min="5131" max="5131" width="18.85546875" style="20" customWidth="1"/>
    <col min="5132" max="5132" width="11.85546875" style="20" customWidth="1"/>
    <col min="5133" max="5133" width="6" style="20" customWidth="1"/>
    <col min="5134" max="5134" width="9.42578125" style="20" bestFit="1" customWidth="1"/>
    <col min="5135" max="5135" width="14.5703125" style="20" customWidth="1"/>
    <col min="5136" max="5136" width="3.85546875" style="20" customWidth="1"/>
    <col min="5137" max="5138" width="9.28515625" style="20"/>
    <col min="5139" max="5139" width="9.5703125" style="20" customWidth="1"/>
    <col min="5140" max="5140" width="17.7109375" style="20" customWidth="1"/>
    <col min="5141" max="5141" width="15" style="20" customWidth="1"/>
    <col min="5142" max="5376" width="9.28515625" style="20"/>
    <col min="5377" max="5377" width="1.85546875" style="20" customWidth="1"/>
    <col min="5378" max="5378" width="5.7109375" style="20" customWidth="1"/>
    <col min="5379" max="5379" width="7.7109375" style="20" customWidth="1"/>
    <col min="5380" max="5380" width="10" style="20" customWidth="1"/>
    <col min="5381" max="5381" width="11.42578125" style="20" customWidth="1"/>
    <col min="5382" max="5382" width="7.7109375" style="20" customWidth="1"/>
    <col min="5383" max="5383" width="6.42578125" style="20" customWidth="1"/>
    <col min="5384" max="5384" width="6.5703125" style="20" customWidth="1"/>
    <col min="5385" max="5385" width="5.85546875" style="20" customWidth="1"/>
    <col min="5386" max="5386" width="19.7109375" style="20" customWidth="1"/>
    <col min="5387" max="5387" width="18.85546875" style="20" customWidth="1"/>
    <col min="5388" max="5388" width="11.85546875" style="20" customWidth="1"/>
    <col min="5389" max="5389" width="6" style="20" customWidth="1"/>
    <col min="5390" max="5390" width="9.42578125" style="20" bestFit="1" customWidth="1"/>
    <col min="5391" max="5391" width="14.5703125" style="20" customWidth="1"/>
    <col min="5392" max="5392" width="3.85546875" style="20" customWidth="1"/>
    <col min="5393" max="5394" width="9.28515625" style="20"/>
    <col min="5395" max="5395" width="9.5703125" style="20" customWidth="1"/>
    <col min="5396" max="5396" width="17.7109375" style="20" customWidth="1"/>
    <col min="5397" max="5397" width="15" style="20" customWidth="1"/>
    <col min="5398" max="5632" width="9.28515625" style="20"/>
    <col min="5633" max="5633" width="1.85546875" style="20" customWidth="1"/>
    <col min="5634" max="5634" width="5.7109375" style="20" customWidth="1"/>
    <col min="5635" max="5635" width="7.7109375" style="20" customWidth="1"/>
    <col min="5636" max="5636" width="10" style="20" customWidth="1"/>
    <col min="5637" max="5637" width="11.42578125" style="20" customWidth="1"/>
    <col min="5638" max="5638" width="7.7109375" style="20" customWidth="1"/>
    <col min="5639" max="5639" width="6.42578125" style="20" customWidth="1"/>
    <col min="5640" max="5640" width="6.5703125" style="20" customWidth="1"/>
    <col min="5641" max="5641" width="5.85546875" style="20" customWidth="1"/>
    <col min="5642" max="5642" width="19.7109375" style="20" customWidth="1"/>
    <col min="5643" max="5643" width="18.85546875" style="20" customWidth="1"/>
    <col min="5644" max="5644" width="11.85546875" style="20" customWidth="1"/>
    <col min="5645" max="5645" width="6" style="20" customWidth="1"/>
    <col min="5646" max="5646" width="9.42578125" style="20" bestFit="1" customWidth="1"/>
    <col min="5647" max="5647" width="14.5703125" style="20" customWidth="1"/>
    <col min="5648" max="5648" width="3.85546875" style="20" customWidth="1"/>
    <col min="5649" max="5650" width="9.28515625" style="20"/>
    <col min="5651" max="5651" width="9.5703125" style="20" customWidth="1"/>
    <col min="5652" max="5652" width="17.7109375" style="20" customWidth="1"/>
    <col min="5653" max="5653" width="15" style="20" customWidth="1"/>
    <col min="5654" max="5888" width="9.28515625" style="20"/>
    <col min="5889" max="5889" width="1.85546875" style="20" customWidth="1"/>
    <col min="5890" max="5890" width="5.7109375" style="20" customWidth="1"/>
    <col min="5891" max="5891" width="7.7109375" style="20" customWidth="1"/>
    <col min="5892" max="5892" width="10" style="20" customWidth="1"/>
    <col min="5893" max="5893" width="11.42578125" style="20" customWidth="1"/>
    <col min="5894" max="5894" width="7.7109375" style="20" customWidth="1"/>
    <col min="5895" max="5895" width="6.42578125" style="20" customWidth="1"/>
    <col min="5896" max="5896" width="6.5703125" style="20" customWidth="1"/>
    <col min="5897" max="5897" width="5.85546875" style="20" customWidth="1"/>
    <col min="5898" max="5898" width="19.7109375" style="20" customWidth="1"/>
    <col min="5899" max="5899" width="18.85546875" style="20" customWidth="1"/>
    <col min="5900" max="5900" width="11.85546875" style="20" customWidth="1"/>
    <col min="5901" max="5901" width="6" style="20" customWidth="1"/>
    <col min="5902" max="5902" width="9.42578125" style="20" bestFit="1" customWidth="1"/>
    <col min="5903" max="5903" width="14.5703125" style="20" customWidth="1"/>
    <col min="5904" max="5904" width="3.85546875" style="20" customWidth="1"/>
    <col min="5905" max="5906" width="9.28515625" style="20"/>
    <col min="5907" max="5907" width="9.5703125" style="20" customWidth="1"/>
    <col min="5908" max="5908" width="17.7109375" style="20" customWidth="1"/>
    <col min="5909" max="5909" width="15" style="20" customWidth="1"/>
    <col min="5910" max="6144" width="9.28515625" style="20"/>
    <col min="6145" max="6145" width="1.85546875" style="20" customWidth="1"/>
    <col min="6146" max="6146" width="5.7109375" style="20" customWidth="1"/>
    <col min="6147" max="6147" width="7.7109375" style="20" customWidth="1"/>
    <col min="6148" max="6148" width="10" style="20" customWidth="1"/>
    <col min="6149" max="6149" width="11.42578125" style="20" customWidth="1"/>
    <col min="6150" max="6150" width="7.7109375" style="20" customWidth="1"/>
    <col min="6151" max="6151" width="6.42578125" style="20" customWidth="1"/>
    <col min="6152" max="6152" width="6.5703125" style="20" customWidth="1"/>
    <col min="6153" max="6153" width="5.85546875" style="20" customWidth="1"/>
    <col min="6154" max="6154" width="19.7109375" style="20" customWidth="1"/>
    <col min="6155" max="6155" width="18.85546875" style="20" customWidth="1"/>
    <col min="6156" max="6156" width="11.85546875" style="20" customWidth="1"/>
    <col min="6157" max="6157" width="6" style="20" customWidth="1"/>
    <col min="6158" max="6158" width="9.42578125" style="20" bestFit="1" customWidth="1"/>
    <col min="6159" max="6159" width="14.5703125" style="20" customWidth="1"/>
    <col min="6160" max="6160" width="3.85546875" style="20" customWidth="1"/>
    <col min="6161" max="6162" width="9.28515625" style="20"/>
    <col min="6163" max="6163" width="9.5703125" style="20" customWidth="1"/>
    <col min="6164" max="6164" width="17.7109375" style="20" customWidth="1"/>
    <col min="6165" max="6165" width="15" style="20" customWidth="1"/>
    <col min="6166" max="6400" width="9.28515625" style="20"/>
    <col min="6401" max="6401" width="1.85546875" style="20" customWidth="1"/>
    <col min="6402" max="6402" width="5.7109375" style="20" customWidth="1"/>
    <col min="6403" max="6403" width="7.7109375" style="20" customWidth="1"/>
    <col min="6404" max="6404" width="10" style="20" customWidth="1"/>
    <col min="6405" max="6405" width="11.42578125" style="20" customWidth="1"/>
    <col min="6406" max="6406" width="7.7109375" style="20" customWidth="1"/>
    <col min="6407" max="6407" width="6.42578125" style="20" customWidth="1"/>
    <col min="6408" max="6408" width="6.5703125" style="20" customWidth="1"/>
    <col min="6409" max="6409" width="5.85546875" style="20" customWidth="1"/>
    <col min="6410" max="6410" width="19.7109375" style="20" customWidth="1"/>
    <col min="6411" max="6411" width="18.85546875" style="20" customWidth="1"/>
    <col min="6412" max="6412" width="11.85546875" style="20" customWidth="1"/>
    <col min="6413" max="6413" width="6" style="20" customWidth="1"/>
    <col min="6414" max="6414" width="9.42578125" style="20" bestFit="1" customWidth="1"/>
    <col min="6415" max="6415" width="14.5703125" style="20" customWidth="1"/>
    <col min="6416" max="6416" width="3.85546875" style="20" customWidth="1"/>
    <col min="6417" max="6418" width="9.28515625" style="20"/>
    <col min="6419" max="6419" width="9.5703125" style="20" customWidth="1"/>
    <col min="6420" max="6420" width="17.7109375" style="20" customWidth="1"/>
    <col min="6421" max="6421" width="15" style="20" customWidth="1"/>
    <col min="6422" max="6656" width="9.28515625" style="20"/>
    <col min="6657" max="6657" width="1.85546875" style="20" customWidth="1"/>
    <col min="6658" max="6658" width="5.7109375" style="20" customWidth="1"/>
    <col min="6659" max="6659" width="7.7109375" style="20" customWidth="1"/>
    <col min="6660" max="6660" width="10" style="20" customWidth="1"/>
    <col min="6661" max="6661" width="11.42578125" style="20" customWidth="1"/>
    <col min="6662" max="6662" width="7.7109375" style="20" customWidth="1"/>
    <col min="6663" max="6663" width="6.42578125" style="20" customWidth="1"/>
    <col min="6664" max="6664" width="6.5703125" style="20" customWidth="1"/>
    <col min="6665" max="6665" width="5.85546875" style="20" customWidth="1"/>
    <col min="6666" max="6666" width="19.7109375" style="20" customWidth="1"/>
    <col min="6667" max="6667" width="18.85546875" style="20" customWidth="1"/>
    <col min="6668" max="6668" width="11.85546875" style="20" customWidth="1"/>
    <col min="6669" max="6669" width="6" style="20" customWidth="1"/>
    <col min="6670" max="6670" width="9.42578125" style="20" bestFit="1" customWidth="1"/>
    <col min="6671" max="6671" width="14.5703125" style="20" customWidth="1"/>
    <col min="6672" max="6672" width="3.85546875" style="20" customWidth="1"/>
    <col min="6673" max="6674" width="9.28515625" style="20"/>
    <col min="6675" max="6675" width="9.5703125" style="20" customWidth="1"/>
    <col min="6676" max="6676" width="17.7109375" style="20" customWidth="1"/>
    <col min="6677" max="6677" width="15" style="20" customWidth="1"/>
    <col min="6678" max="6912" width="9.28515625" style="20"/>
    <col min="6913" max="6913" width="1.85546875" style="20" customWidth="1"/>
    <col min="6914" max="6914" width="5.7109375" style="20" customWidth="1"/>
    <col min="6915" max="6915" width="7.7109375" style="20" customWidth="1"/>
    <col min="6916" max="6916" width="10" style="20" customWidth="1"/>
    <col min="6917" max="6917" width="11.42578125" style="20" customWidth="1"/>
    <col min="6918" max="6918" width="7.7109375" style="20" customWidth="1"/>
    <col min="6919" max="6919" width="6.42578125" style="20" customWidth="1"/>
    <col min="6920" max="6920" width="6.5703125" style="20" customWidth="1"/>
    <col min="6921" max="6921" width="5.85546875" style="20" customWidth="1"/>
    <col min="6922" max="6922" width="19.7109375" style="20" customWidth="1"/>
    <col min="6923" max="6923" width="18.85546875" style="20" customWidth="1"/>
    <col min="6924" max="6924" width="11.85546875" style="20" customWidth="1"/>
    <col min="6925" max="6925" width="6" style="20" customWidth="1"/>
    <col min="6926" max="6926" width="9.42578125" style="20" bestFit="1" customWidth="1"/>
    <col min="6927" max="6927" width="14.5703125" style="20" customWidth="1"/>
    <col min="6928" max="6928" width="3.85546875" style="20" customWidth="1"/>
    <col min="6929" max="6930" width="9.28515625" style="20"/>
    <col min="6931" max="6931" width="9.5703125" style="20" customWidth="1"/>
    <col min="6932" max="6932" width="17.7109375" style="20" customWidth="1"/>
    <col min="6933" max="6933" width="15" style="20" customWidth="1"/>
    <col min="6934" max="7168" width="9.28515625" style="20"/>
    <col min="7169" max="7169" width="1.85546875" style="20" customWidth="1"/>
    <col min="7170" max="7170" width="5.7109375" style="20" customWidth="1"/>
    <col min="7171" max="7171" width="7.7109375" style="20" customWidth="1"/>
    <col min="7172" max="7172" width="10" style="20" customWidth="1"/>
    <col min="7173" max="7173" width="11.42578125" style="20" customWidth="1"/>
    <col min="7174" max="7174" width="7.7109375" style="20" customWidth="1"/>
    <col min="7175" max="7175" width="6.42578125" style="20" customWidth="1"/>
    <col min="7176" max="7176" width="6.5703125" style="20" customWidth="1"/>
    <col min="7177" max="7177" width="5.85546875" style="20" customWidth="1"/>
    <col min="7178" max="7178" width="19.7109375" style="20" customWidth="1"/>
    <col min="7179" max="7179" width="18.85546875" style="20" customWidth="1"/>
    <col min="7180" max="7180" width="11.85546875" style="20" customWidth="1"/>
    <col min="7181" max="7181" width="6" style="20" customWidth="1"/>
    <col min="7182" max="7182" width="9.42578125" style="20" bestFit="1" customWidth="1"/>
    <col min="7183" max="7183" width="14.5703125" style="20" customWidth="1"/>
    <col min="7184" max="7184" width="3.85546875" style="20" customWidth="1"/>
    <col min="7185" max="7186" width="9.28515625" style="20"/>
    <col min="7187" max="7187" width="9.5703125" style="20" customWidth="1"/>
    <col min="7188" max="7188" width="17.7109375" style="20" customWidth="1"/>
    <col min="7189" max="7189" width="15" style="20" customWidth="1"/>
    <col min="7190" max="7424" width="9.28515625" style="20"/>
    <col min="7425" max="7425" width="1.85546875" style="20" customWidth="1"/>
    <col min="7426" max="7426" width="5.7109375" style="20" customWidth="1"/>
    <col min="7427" max="7427" width="7.7109375" style="20" customWidth="1"/>
    <col min="7428" max="7428" width="10" style="20" customWidth="1"/>
    <col min="7429" max="7429" width="11.42578125" style="20" customWidth="1"/>
    <col min="7430" max="7430" width="7.7109375" style="20" customWidth="1"/>
    <col min="7431" max="7431" width="6.42578125" style="20" customWidth="1"/>
    <col min="7432" max="7432" width="6.5703125" style="20" customWidth="1"/>
    <col min="7433" max="7433" width="5.85546875" style="20" customWidth="1"/>
    <col min="7434" max="7434" width="19.7109375" style="20" customWidth="1"/>
    <col min="7435" max="7435" width="18.85546875" style="20" customWidth="1"/>
    <col min="7436" max="7436" width="11.85546875" style="20" customWidth="1"/>
    <col min="7437" max="7437" width="6" style="20" customWidth="1"/>
    <col min="7438" max="7438" width="9.42578125" style="20" bestFit="1" customWidth="1"/>
    <col min="7439" max="7439" width="14.5703125" style="20" customWidth="1"/>
    <col min="7440" max="7440" width="3.85546875" style="20" customWidth="1"/>
    <col min="7441" max="7442" width="9.28515625" style="20"/>
    <col min="7443" max="7443" width="9.5703125" style="20" customWidth="1"/>
    <col min="7444" max="7444" width="17.7109375" style="20" customWidth="1"/>
    <col min="7445" max="7445" width="15" style="20" customWidth="1"/>
    <col min="7446" max="7680" width="9.28515625" style="20"/>
    <col min="7681" max="7681" width="1.85546875" style="20" customWidth="1"/>
    <col min="7682" max="7682" width="5.7109375" style="20" customWidth="1"/>
    <col min="7683" max="7683" width="7.7109375" style="20" customWidth="1"/>
    <col min="7684" max="7684" width="10" style="20" customWidth="1"/>
    <col min="7685" max="7685" width="11.42578125" style="20" customWidth="1"/>
    <col min="7686" max="7686" width="7.7109375" style="20" customWidth="1"/>
    <col min="7687" max="7687" width="6.42578125" style="20" customWidth="1"/>
    <col min="7688" max="7688" width="6.5703125" style="20" customWidth="1"/>
    <col min="7689" max="7689" width="5.85546875" style="20" customWidth="1"/>
    <col min="7690" max="7690" width="19.7109375" style="20" customWidth="1"/>
    <col min="7691" max="7691" width="18.85546875" style="20" customWidth="1"/>
    <col min="7692" max="7692" width="11.85546875" style="20" customWidth="1"/>
    <col min="7693" max="7693" width="6" style="20" customWidth="1"/>
    <col min="7694" max="7694" width="9.42578125" style="20" bestFit="1" customWidth="1"/>
    <col min="7695" max="7695" width="14.5703125" style="20" customWidth="1"/>
    <col min="7696" max="7696" width="3.85546875" style="20" customWidth="1"/>
    <col min="7697" max="7698" width="9.28515625" style="20"/>
    <col min="7699" max="7699" width="9.5703125" style="20" customWidth="1"/>
    <col min="7700" max="7700" width="17.7109375" style="20" customWidth="1"/>
    <col min="7701" max="7701" width="15" style="20" customWidth="1"/>
    <col min="7702" max="7936" width="9.28515625" style="20"/>
    <col min="7937" max="7937" width="1.85546875" style="20" customWidth="1"/>
    <col min="7938" max="7938" width="5.7109375" style="20" customWidth="1"/>
    <col min="7939" max="7939" width="7.7109375" style="20" customWidth="1"/>
    <col min="7940" max="7940" width="10" style="20" customWidth="1"/>
    <col min="7941" max="7941" width="11.42578125" style="20" customWidth="1"/>
    <col min="7942" max="7942" width="7.7109375" style="20" customWidth="1"/>
    <col min="7943" max="7943" width="6.42578125" style="20" customWidth="1"/>
    <col min="7944" max="7944" width="6.5703125" style="20" customWidth="1"/>
    <col min="7945" max="7945" width="5.85546875" style="20" customWidth="1"/>
    <col min="7946" max="7946" width="19.7109375" style="20" customWidth="1"/>
    <col min="7947" max="7947" width="18.85546875" style="20" customWidth="1"/>
    <col min="7948" max="7948" width="11.85546875" style="20" customWidth="1"/>
    <col min="7949" max="7949" width="6" style="20" customWidth="1"/>
    <col min="7950" max="7950" width="9.42578125" style="20" bestFit="1" customWidth="1"/>
    <col min="7951" max="7951" width="14.5703125" style="20" customWidth="1"/>
    <col min="7952" max="7952" width="3.85546875" style="20" customWidth="1"/>
    <col min="7953" max="7954" width="9.28515625" style="20"/>
    <col min="7955" max="7955" width="9.5703125" style="20" customWidth="1"/>
    <col min="7956" max="7956" width="17.7109375" style="20" customWidth="1"/>
    <col min="7957" max="7957" width="15" style="20" customWidth="1"/>
    <col min="7958" max="8192" width="9.28515625" style="20"/>
    <col min="8193" max="8193" width="1.85546875" style="20" customWidth="1"/>
    <col min="8194" max="8194" width="5.7109375" style="20" customWidth="1"/>
    <col min="8195" max="8195" width="7.7109375" style="20" customWidth="1"/>
    <col min="8196" max="8196" width="10" style="20" customWidth="1"/>
    <col min="8197" max="8197" width="11.42578125" style="20" customWidth="1"/>
    <col min="8198" max="8198" width="7.7109375" style="20" customWidth="1"/>
    <col min="8199" max="8199" width="6.42578125" style="20" customWidth="1"/>
    <col min="8200" max="8200" width="6.5703125" style="20" customWidth="1"/>
    <col min="8201" max="8201" width="5.85546875" style="20" customWidth="1"/>
    <col min="8202" max="8202" width="19.7109375" style="20" customWidth="1"/>
    <col min="8203" max="8203" width="18.85546875" style="20" customWidth="1"/>
    <col min="8204" max="8204" width="11.85546875" style="20" customWidth="1"/>
    <col min="8205" max="8205" width="6" style="20" customWidth="1"/>
    <col min="8206" max="8206" width="9.42578125" style="20" bestFit="1" customWidth="1"/>
    <col min="8207" max="8207" width="14.5703125" style="20" customWidth="1"/>
    <col min="8208" max="8208" width="3.85546875" style="20" customWidth="1"/>
    <col min="8209" max="8210" width="9.28515625" style="20"/>
    <col min="8211" max="8211" width="9.5703125" style="20" customWidth="1"/>
    <col min="8212" max="8212" width="17.7109375" style="20" customWidth="1"/>
    <col min="8213" max="8213" width="15" style="20" customWidth="1"/>
    <col min="8214" max="8448" width="9.28515625" style="20"/>
    <col min="8449" max="8449" width="1.85546875" style="20" customWidth="1"/>
    <col min="8450" max="8450" width="5.7109375" style="20" customWidth="1"/>
    <col min="8451" max="8451" width="7.7109375" style="20" customWidth="1"/>
    <col min="8452" max="8452" width="10" style="20" customWidth="1"/>
    <col min="8453" max="8453" width="11.42578125" style="20" customWidth="1"/>
    <col min="8454" max="8454" width="7.7109375" style="20" customWidth="1"/>
    <col min="8455" max="8455" width="6.42578125" style="20" customWidth="1"/>
    <col min="8456" max="8456" width="6.5703125" style="20" customWidth="1"/>
    <col min="8457" max="8457" width="5.85546875" style="20" customWidth="1"/>
    <col min="8458" max="8458" width="19.7109375" style="20" customWidth="1"/>
    <col min="8459" max="8459" width="18.85546875" style="20" customWidth="1"/>
    <col min="8460" max="8460" width="11.85546875" style="20" customWidth="1"/>
    <col min="8461" max="8461" width="6" style="20" customWidth="1"/>
    <col min="8462" max="8462" width="9.42578125" style="20" bestFit="1" customWidth="1"/>
    <col min="8463" max="8463" width="14.5703125" style="20" customWidth="1"/>
    <col min="8464" max="8464" width="3.85546875" style="20" customWidth="1"/>
    <col min="8465" max="8466" width="9.28515625" style="20"/>
    <col min="8467" max="8467" width="9.5703125" style="20" customWidth="1"/>
    <col min="8468" max="8468" width="17.7109375" style="20" customWidth="1"/>
    <col min="8469" max="8469" width="15" style="20" customWidth="1"/>
    <col min="8470" max="8704" width="9.28515625" style="20"/>
    <col min="8705" max="8705" width="1.85546875" style="20" customWidth="1"/>
    <col min="8706" max="8706" width="5.7109375" style="20" customWidth="1"/>
    <col min="8707" max="8707" width="7.7109375" style="20" customWidth="1"/>
    <col min="8708" max="8708" width="10" style="20" customWidth="1"/>
    <col min="8709" max="8709" width="11.42578125" style="20" customWidth="1"/>
    <col min="8710" max="8710" width="7.7109375" style="20" customWidth="1"/>
    <col min="8711" max="8711" width="6.42578125" style="20" customWidth="1"/>
    <col min="8712" max="8712" width="6.5703125" style="20" customWidth="1"/>
    <col min="8713" max="8713" width="5.85546875" style="20" customWidth="1"/>
    <col min="8714" max="8714" width="19.7109375" style="20" customWidth="1"/>
    <col min="8715" max="8715" width="18.85546875" style="20" customWidth="1"/>
    <col min="8716" max="8716" width="11.85546875" style="20" customWidth="1"/>
    <col min="8717" max="8717" width="6" style="20" customWidth="1"/>
    <col min="8718" max="8718" width="9.42578125" style="20" bestFit="1" customWidth="1"/>
    <col min="8719" max="8719" width="14.5703125" style="20" customWidth="1"/>
    <col min="8720" max="8720" width="3.85546875" style="20" customWidth="1"/>
    <col min="8721" max="8722" width="9.28515625" style="20"/>
    <col min="8723" max="8723" width="9.5703125" style="20" customWidth="1"/>
    <col min="8724" max="8724" width="17.7109375" style="20" customWidth="1"/>
    <col min="8725" max="8725" width="15" style="20" customWidth="1"/>
    <col min="8726" max="8960" width="9.28515625" style="20"/>
    <col min="8961" max="8961" width="1.85546875" style="20" customWidth="1"/>
    <col min="8962" max="8962" width="5.7109375" style="20" customWidth="1"/>
    <col min="8963" max="8963" width="7.7109375" style="20" customWidth="1"/>
    <col min="8964" max="8964" width="10" style="20" customWidth="1"/>
    <col min="8965" max="8965" width="11.42578125" style="20" customWidth="1"/>
    <col min="8966" max="8966" width="7.7109375" style="20" customWidth="1"/>
    <col min="8967" max="8967" width="6.42578125" style="20" customWidth="1"/>
    <col min="8968" max="8968" width="6.5703125" style="20" customWidth="1"/>
    <col min="8969" max="8969" width="5.85546875" style="20" customWidth="1"/>
    <col min="8970" max="8970" width="19.7109375" style="20" customWidth="1"/>
    <col min="8971" max="8971" width="18.85546875" style="20" customWidth="1"/>
    <col min="8972" max="8972" width="11.85546875" style="20" customWidth="1"/>
    <col min="8973" max="8973" width="6" style="20" customWidth="1"/>
    <col min="8974" max="8974" width="9.42578125" style="20" bestFit="1" customWidth="1"/>
    <col min="8975" max="8975" width="14.5703125" style="20" customWidth="1"/>
    <col min="8976" max="8976" width="3.85546875" style="20" customWidth="1"/>
    <col min="8977" max="8978" width="9.28515625" style="20"/>
    <col min="8979" max="8979" width="9.5703125" style="20" customWidth="1"/>
    <col min="8980" max="8980" width="17.7109375" style="20" customWidth="1"/>
    <col min="8981" max="8981" width="15" style="20" customWidth="1"/>
    <col min="8982" max="9216" width="9.28515625" style="20"/>
    <col min="9217" max="9217" width="1.85546875" style="20" customWidth="1"/>
    <col min="9218" max="9218" width="5.7109375" style="20" customWidth="1"/>
    <col min="9219" max="9219" width="7.7109375" style="20" customWidth="1"/>
    <col min="9220" max="9220" width="10" style="20" customWidth="1"/>
    <col min="9221" max="9221" width="11.42578125" style="20" customWidth="1"/>
    <col min="9222" max="9222" width="7.7109375" style="20" customWidth="1"/>
    <col min="9223" max="9223" width="6.42578125" style="20" customWidth="1"/>
    <col min="9224" max="9224" width="6.5703125" style="20" customWidth="1"/>
    <col min="9225" max="9225" width="5.85546875" style="20" customWidth="1"/>
    <col min="9226" max="9226" width="19.7109375" style="20" customWidth="1"/>
    <col min="9227" max="9227" width="18.85546875" style="20" customWidth="1"/>
    <col min="9228" max="9228" width="11.85546875" style="20" customWidth="1"/>
    <col min="9229" max="9229" width="6" style="20" customWidth="1"/>
    <col min="9230" max="9230" width="9.42578125" style="20" bestFit="1" customWidth="1"/>
    <col min="9231" max="9231" width="14.5703125" style="20" customWidth="1"/>
    <col min="9232" max="9232" width="3.85546875" style="20" customWidth="1"/>
    <col min="9233" max="9234" width="9.28515625" style="20"/>
    <col min="9235" max="9235" width="9.5703125" style="20" customWidth="1"/>
    <col min="9236" max="9236" width="17.7109375" style="20" customWidth="1"/>
    <col min="9237" max="9237" width="15" style="20" customWidth="1"/>
    <col min="9238" max="9472" width="9.28515625" style="20"/>
    <col min="9473" max="9473" width="1.85546875" style="20" customWidth="1"/>
    <col min="9474" max="9474" width="5.7109375" style="20" customWidth="1"/>
    <col min="9475" max="9475" width="7.7109375" style="20" customWidth="1"/>
    <col min="9476" max="9476" width="10" style="20" customWidth="1"/>
    <col min="9477" max="9477" width="11.42578125" style="20" customWidth="1"/>
    <col min="9478" max="9478" width="7.7109375" style="20" customWidth="1"/>
    <col min="9479" max="9479" width="6.42578125" style="20" customWidth="1"/>
    <col min="9480" max="9480" width="6.5703125" style="20" customWidth="1"/>
    <col min="9481" max="9481" width="5.85546875" style="20" customWidth="1"/>
    <col min="9482" max="9482" width="19.7109375" style="20" customWidth="1"/>
    <col min="9483" max="9483" width="18.85546875" style="20" customWidth="1"/>
    <col min="9484" max="9484" width="11.85546875" style="20" customWidth="1"/>
    <col min="9485" max="9485" width="6" style="20" customWidth="1"/>
    <col min="9486" max="9486" width="9.42578125" style="20" bestFit="1" customWidth="1"/>
    <col min="9487" max="9487" width="14.5703125" style="20" customWidth="1"/>
    <col min="9488" max="9488" width="3.85546875" style="20" customWidth="1"/>
    <col min="9489" max="9490" width="9.28515625" style="20"/>
    <col min="9491" max="9491" width="9.5703125" style="20" customWidth="1"/>
    <col min="9492" max="9492" width="17.7109375" style="20" customWidth="1"/>
    <col min="9493" max="9493" width="15" style="20" customWidth="1"/>
    <col min="9494" max="9728" width="9.28515625" style="20"/>
    <col min="9729" max="9729" width="1.85546875" style="20" customWidth="1"/>
    <col min="9730" max="9730" width="5.7109375" style="20" customWidth="1"/>
    <col min="9731" max="9731" width="7.7109375" style="20" customWidth="1"/>
    <col min="9732" max="9732" width="10" style="20" customWidth="1"/>
    <col min="9733" max="9733" width="11.42578125" style="20" customWidth="1"/>
    <col min="9734" max="9734" width="7.7109375" style="20" customWidth="1"/>
    <col min="9735" max="9735" width="6.42578125" style="20" customWidth="1"/>
    <col min="9736" max="9736" width="6.5703125" style="20" customWidth="1"/>
    <col min="9737" max="9737" width="5.85546875" style="20" customWidth="1"/>
    <col min="9738" max="9738" width="19.7109375" style="20" customWidth="1"/>
    <col min="9739" max="9739" width="18.85546875" style="20" customWidth="1"/>
    <col min="9740" max="9740" width="11.85546875" style="20" customWidth="1"/>
    <col min="9741" max="9741" width="6" style="20" customWidth="1"/>
    <col min="9742" max="9742" width="9.42578125" style="20" bestFit="1" customWidth="1"/>
    <col min="9743" max="9743" width="14.5703125" style="20" customWidth="1"/>
    <col min="9744" max="9744" width="3.85546875" style="20" customWidth="1"/>
    <col min="9745" max="9746" width="9.28515625" style="20"/>
    <col min="9747" max="9747" width="9.5703125" style="20" customWidth="1"/>
    <col min="9748" max="9748" width="17.7109375" style="20" customWidth="1"/>
    <col min="9749" max="9749" width="15" style="20" customWidth="1"/>
    <col min="9750" max="9984" width="9.28515625" style="20"/>
    <col min="9985" max="9985" width="1.85546875" style="20" customWidth="1"/>
    <col min="9986" max="9986" width="5.7109375" style="20" customWidth="1"/>
    <col min="9987" max="9987" width="7.7109375" style="20" customWidth="1"/>
    <col min="9988" max="9988" width="10" style="20" customWidth="1"/>
    <col min="9989" max="9989" width="11.42578125" style="20" customWidth="1"/>
    <col min="9990" max="9990" width="7.7109375" style="20" customWidth="1"/>
    <col min="9991" max="9991" width="6.42578125" style="20" customWidth="1"/>
    <col min="9992" max="9992" width="6.5703125" style="20" customWidth="1"/>
    <col min="9993" max="9993" width="5.85546875" style="20" customWidth="1"/>
    <col min="9994" max="9994" width="19.7109375" style="20" customWidth="1"/>
    <col min="9995" max="9995" width="18.85546875" style="20" customWidth="1"/>
    <col min="9996" max="9996" width="11.85546875" style="20" customWidth="1"/>
    <col min="9997" max="9997" width="6" style="20" customWidth="1"/>
    <col min="9998" max="9998" width="9.42578125" style="20" bestFit="1" customWidth="1"/>
    <col min="9999" max="9999" width="14.5703125" style="20" customWidth="1"/>
    <col min="10000" max="10000" width="3.85546875" style="20" customWidth="1"/>
    <col min="10001" max="10002" width="9.28515625" style="20"/>
    <col min="10003" max="10003" width="9.5703125" style="20" customWidth="1"/>
    <col min="10004" max="10004" width="17.7109375" style="20" customWidth="1"/>
    <col min="10005" max="10005" width="15" style="20" customWidth="1"/>
    <col min="10006" max="10240" width="9.28515625" style="20"/>
    <col min="10241" max="10241" width="1.85546875" style="20" customWidth="1"/>
    <col min="10242" max="10242" width="5.7109375" style="20" customWidth="1"/>
    <col min="10243" max="10243" width="7.7109375" style="20" customWidth="1"/>
    <col min="10244" max="10244" width="10" style="20" customWidth="1"/>
    <col min="10245" max="10245" width="11.42578125" style="20" customWidth="1"/>
    <col min="10246" max="10246" width="7.7109375" style="20" customWidth="1"/>
    <col min="10247" max="10247" width="6.42578125" style="20" customWidth="1"/>
    <col min="10248" max="10248" width="6.5703125" style="20" customWidth="1"/>
    <col min="10249" max="10249" width="5.85546875" style="20" customWidth="1"/>
    <col min="10250" max="10250" width="19.7109375" style="20" customWidth="1"/>
    <col min="10251" max="10251" width="18.85546875" style="20" customWidth="1"/>
    <col min="10252" max="10252" width="11.85546875" style="20" customWidth="1"/>
    <col min="10253" max="10253" width="6" style="20" customWidth="1"/>
    <col min="10254" max="10254" width="9.42578125" style="20" bestFit="1" customWidth="1"/>
    <col min="10255" max="10255" width="14.5703125" style="20" customWidth="1"/>
    <col min="10256" max="10256" width="3.85546875" style="20" customWidth="1"/>
    <col min="10257" max="10258" width="9.28515625" style="20"/>
    <col min="10259" max="10259" width="9.5703125" style="20" customWidth="1"/>
    <col min="10260" max="10260" width="17.7109375" style="20" customWidth="1"/>
    <col min="10261" max="10261" width="15" style="20" customWidth="1"/>
    <col min="10262" max="10496" width="9.28515625" style="20"/>
    <col min="10497" max="10497" width="1.85546875" style="20" customWidth="1"/>
    <col min="10498" max="10498" width="5.7109375" style="20" customWidth="1"/>
    <col min="10499" max="10499" width="7.7109375" style="20" customWidth="1"/>
    <col min="10500" max="10500" width="10" style="20" customWidth="1"/>
    <col min="10501" max="10501" width="11.42578125" style="20" customWidth="1"/>
    <col min="10502" max="10502" width="7.7109375" style="20" customWidth="1"/>
    <col min="10503" max="10503" width="6.42578125" style="20" customWidth="1"/>
    <col min="10504" max="10504" width="6.5703125" style="20" customWidth="1"/>
    <col min="10505" max="10505" width="5.85546875" style="20" customWidth="1"/>
    <col min="10506" max="10506" width="19.7109375" style="20" customWidth="1"/>
    <col min="10507" max="10507" width="18.85546875" style="20" customWidth="1"/>
    <col min="10508" max="10508" width="11.85546875" style="20" customWidth="1"/>
    <col min="10509" max="10509" width="6" style="20" customWidth="1"/>
    <col min="10510" max="10510" width="9.42578125" style="20" bestFit="1" customWidth="1"/>
    <col min="10511" max="10511" width="14.5703125" style="20" customWidth="1"/>
    <col min="10512" max="10512" width="3.85546875" style="20" customWidth="1"/>
    <col min="10513" max="10514" width="9.28515625" style="20"/>
    <col min="10515" max="10515" width="9.5703125" style="20" customWidth="1"/>
    <col min="10516" max="10516" width="17.7109375" style="20" customWidth="1"/>
    <col min="10517" max="10517" width="15" style="20" customWidth="1"/>
    <col min="10518" max="10752" width="9.28515625" style="20"/>
    <col min="10753" max="10753" width="1.85546875" style="20" customWidth="1"/>
    <col min="10754" max="10754" width="5.7109375" style="20" customWidth="1"/>
    <col min="10755" max="10755" width="7.7109375" style="20" customWidth="1"/>
    <col min="10756" max="10756" width="10" style="20" customWidth="1"/>
    <col min="10757" max="10757" width="11.42578125" style="20" customWidth="1"/>
    <col min="10758" max="10758" width="7.7109375" style="20" customWidth="1"/>
    <col min="10759" max="10759" width="6.42578125" style="20" customWidth="1"/>
    <col min="10760" max="10760" width="6.5703125" style="20" customWidth="1"/>
    <col min="10761" max="10761" width="5.85546875" style="20" customWidth="1"/>
    <col min="10762" max="10762" width="19.7109375" style="20" customWidth="1"/>
    <col min="10763" max="10763" width="18.85546875" style="20" customWidth="1"/>
    <col min="10764" max="10764" width="11.85546875" style="20" customWidth="1"/>
    <col min="10765" max="10765" width="6" style="20" customWidth="1"/>
    <col min="10766" max="10766" width="9.42578125" style="20" bestFit="1" customWidth="1"/>
    <col min="10767" max="10767" width="14.5703125" style="20" customWidth="1"/>
    <col min="10768" max="10768" width="3.85546875" style="20" customWidth="1"/>
    <col min="10769" max="10770" width="9.28515625" style="20"/>
    <col min="10771" max="10771" width="9.5703125" style="20" customWidth="1"/>
    <col min="10772" max="10772" width="17.7109375" style="20" customWidth="1"/>
    <col min="10773" max="10773" width="15" style="20" customWidth="1"/>
    <col min="10774" max="11008" width="9.28515625" style="20"/>
    <col min="11009" max="11009" width="1.85546875" style="20" customWidth="1"/>
    <col min="11010" max="11010" width="5.7109375" style="20" customWidth="1"/>
    <col min="11011" max="11011" width="7.7109375" style="20" customWidth="1"/>
    <col min="11012" max="11012" width="10" style="20" customWidth="1"/>
    <col min="11013" max="11013" width="11.42578125" style="20" customWidth="1"/>
    <col min="11014" max="11014" width="7.7109375" style="20" customWidth="1"/>
    <col min="11015" max="11015" width="6.42578125" style="20" customWidth="1"/>
    <col min="11016" max="11016" width="6.5703125" style="20" customWidth="1"/>
    <col min="11017" max="11017" width="5.85546875" style="20" customWidth="1"/>
    <col min="11018" max="11018" width="19.7109375" style="20" customWidth="1"/>
    <col min="11019" max="11019" width="18.85546875" style="20" customWidth="1"/>
    <col min="11020" max="11020" width="11.85546875" style="20" customWidth="1"/>
    <col min="11021" max="11021" width="6" style="20" customWidth="1"/>
    <col min="11022" max="11022" width="9.42578125" style="20" bestFit="1" customWidth="1"/>
    <col min="11023" max="11023" width="14.5703125" style="20" customWidth="1"/>
    <col min="11024" max="11024" width="3.85546875" style="20" customWidth="1"/>
    <col min="11025" max="11026" width="9.28515625" style="20"/>
    <col min="11027" max="11027" width="9.5703125" style="20" customWidth="1"/>
    <col min="11028" max="11028" width="17.7109375" style="20" customWidth="1"/>
    <col min="11029" max="11029" width="15" style="20" customWidth="1"/>
    <col min="11030" max="11264" width="9.28515625" style="20"/>
    <col min="11265" max="11265" width="1.85546875" style="20" customWidth="1"/>
    <col min="11266" max="11266" width="5.7109375" style="20" customWidth="1"/>
    <col min="11267" max="11267" width="7.7109375" style="20" customWidth="1"/>
    <col min="11268" max="11268" width="10" style="20" customWidth="1"/>
    <col min="11269" max="11269" width="11.42578125" style="20" customWidth="1"/>
    <col min="11270" max="11270" width="7.7109375" style="20" customWidth="1"/>
    <col min="11271" max="11271" width="6.42578125" style="20" customWidth="1"/>
    <col min="11272" max="11272" width="6.5703125" style="20" customWidth="1"/>
    <col min="11273" max="11273" width="5.85546875" style="20" customWidth="1"/>
    <col min="11274" max="11274" width="19.7109375" style="20" customWidth="1"/>
    <col min="11275" max="11275" width="18.85546875" style="20" customWidth="1"/>
    <col min="11276" max="11276" width="11.85546875" style="20" customWidth="1"/>
    <col min="11277" max="11277" width="6" style="20" customWidth="1"/>
    <col min="11278" max="11278" width="9.42578125" style="20" bestFit="1" customWidth="1"/>
    <col min="11279" max="11279" width="14.5703125" style="20" customWidth="1"/>
    <col min="11280" max="11280" width="3.85546875" style="20" customWidth="1"/>
    <col min="11281" max="11282" width="9.28515625" style="20"/>
    <col min="11283" max="11283" width="9.5703125" style="20" customWidth="1"/>
    <col min="11284" max="11284" width="17.7109375" style="20" customWidth="1"/>
    <col min="11285" max="11285" width="15" style="20" customWidth="1"/>
    <col min="11286" max="11520" width="9.28515625" style="20"/>
    <col min="11521" max="11521" width="1.85546875" style="20" customWidth="1"/>
    <col min="11522" max="11522" width="5.7109375" style="20" customWidth="1"/>
    <col min="11523" max="11523" width="7.7109375" style="20" customWidth="1"/>
    <col min="11524" max="11524" width="10" style="20" customWidth="1"/>
    <col min="11525" max="11525" width="11.42578125" style="20" customWidth="1"/>
    <col min="11526" max="11526" width="7.7109375" style="20" customWidth="1"/>
    <col min="11527" max="11527" width="6.42578125" style="20" customWidth="1"/>
    <col min="11528" max="11528" width="6.5703125" style="20" customWidth="1"/>
    <col min="11529" max="11529" width="5.85546875" style="20" customWidth="1"/>
    <col min="11530" max="11530" width="19.7109375" style="20" customWidth="1"/>
    <col min="11531" max="11531" width="18.85546875" style="20" customWidth="1"/>
    <col min="11532" max="11532" width="11.85546875" style="20" customWidth="1"/>
    <col min="11533" max="11533" width="6" style="20" customWidth="1"/>
    <col min="11534" max="11534" width="9.42578125" style="20" bestFit="1" customWidth="1"/>
    <col min="11535" max="11535" width="14.5703125" style="20" customWidth="1"/>
    <col min="11536" max="11536" width="3.85546875" style="20" customWidth="1"/>
    <col min="11537" max="11538" width="9.28515625" style="20"/>
    <col min="11539" max="11539" width="9.5703125" style="20" customWidth="1"/>
    <col min="11540" max="11540" width="17.7109375" style="20" customWidth="1"/>
    <col min="11541" max="11541" width="15" style="20" customWidth="1"/>
    <col min="11542" max="11776" width="9.28515625" style="20"/>
    <col min="11777" max="11777" width="1.85546875" style="20" customWidth="1"/>
    <col min="11778" max="11778" width="5.7109375" style="20" customWidth="1"/>
    <col min="11779" max="11779" width="7.7109375" style="20" customWidth="1"/>
    <col min="11780" max="11780" width="10" style="20" customWidth="1"/>
    <col min="11781" max="11781" width="11.42578125" style="20" customWidth="1"/>
    <col min="11782" max="11782" width="7.7109375" style="20" customWidth="1"/>
    <col min="11783" max="11783" width="6.42578125" style="20" customWidth="1"/>
    <col min="11784" max="11784" width="6.5703125" style="20" customWidth="1"/>
    <col min="11785" max="11785" width="5.85546875" style="20" customWidth="1"/>
    <col min="11786" max="11786" width="19.7109375" style="20" customWidth="1"/>
    <col min="11787" max="11787" width="18.85546875" style="20" customWidth="1"/>
    <col min="11788" max="11788" width="11.85546875" style="20" customWidth="1"/>
    <col min="11789" max="11789" width="6" style="20" customWidth="1"/>
    <col min="11790" max="11790" width="9.42578125" style="20" bestFit="1" customWidth="1"/>
    <col min="11791" max="11791" width="14.5703125" style="20" customWidth="1"/>
    <col min="11792" max="11792" width="3.85546875" style="20" customWidth="1"/>
    <col min="11793" max="11794" width="9.28515625" style="20"/>
    <col min="11795" max="11795" width="9.5703125" style="20" customWidth="1"/>
    <col min="11796" max="11796" width="17.7109375" style="20" customWidth="1"/>
    <col min="11797" max="11797" width="15" style="20" customWidth="1"/>
    <col min="11798" max="12032" width="9.28515625" style="20"/>
    <col min="12033" max="12033" width="1.85546875" style="20" customWidth="1"/>
    <col min="12034" max="12034" width="5.7109375" style="20" customWidth="1"/>
    <col min="12035" max="12035" width="7.7109375" style="20" customWidth="1"/>
    <col min="12036" max="12036" width="10" style="20" customWidth="1"/>
    <col min="12037" max="12037" width="11.42578125" style="20" customWidth="1"/>
    <col min="12038" max="12038" width="7.7109375" style="20" customWidth="1"/>
    <col min="12039" max="12039" width="6.42578125" style="20" customWidth="1"/>
    <col min="12040" max="12040" width="6.5703125" style="20" customWidth="1"/>
    <col min="12041" max="12041" width="5.85546875" style="20" customWidth="1"/>
    <col min="12042" max="12042" width="19.7109375" style="20" customWidth="1"/>
    <col min="12043" max="12043" width="18.85546875" style="20" customWidth="1"/>
    <col min="12044" max="12044" width="11.85546875" style="20" customWidth="1"/>
    <col min="12045" max="12045" width="6" style="20" customWidth="1"/>
    <col min="12046" max="12046" width="9.42578125" style="20" bestFit="1" customWidth="1"/>
    <col min="12047" max="12047" width="14.5703125" style="20" customWidth="1"/>
    <col min="12048" max="12048" width="3.85546875" style="20" customWidth="1"/>
    <col min="12049" max="12050" width="9.28515625" style="20"/>
    <col min="12051" max="12051" width="9.5703125" style="20" customWidth="1"/>
    <col min="12052" max="12052" width="17.7109375" style="20" customWidth="1"/>
    <col min="12053" max="12053" width="15" style="20" customWidth="1"/>
    <col min="12054" max="12288" width="9.28515625" style="20"/>
    <col min="12289" max="12289" width="1.85546875" style="20" customWidth="1"/>
    <col min="12290" max="12290" width="5.7109375" style="20" customWidth="1"/>
    <col min="12291" max="12291" width="7.7109375" style="20" customWidth="1"/>
    <col min="12292" max="12292" width="10" style="20" customWidth="1"/>
    <col min="12293" max="12293" width="11.42578125" style="20" customWidth="1"/>
    <col min="12294" max="12294" width="7.7109375" style="20" customWidth="1"/>
    <col min="12295" max="12295" width="6.42578125" style="20" customWidth="1"/>
    <col min="12296" max="12296" width="6.5703125" style="20" customWidth="1"/>
    <col min="12297" max="12297" width="5.85546875" style="20" customWidth="1"/>
    <col min="12298" max="12298" width="19.7109375" style="20" customWidth="1"/>
    <col min="12299" max="12299" width="18.85546875" style="20" customWidth="1"/>
    <col min="12300" max="12300" width="11.85546875" style="20" customWidth="1"/>
    <col min="12301" max="12301" width="6" style="20" customWidth="1"/>
    <col min="12302" max="12302" width="9.42578125" style="20" bestFit="1" customWidth="1"/>
    <col min="12303" max="12303" width="14.5703125" style="20" customWidth="1"/>
    <col min="12304" max="12304" width="3.85546875" style="20" customWidth="1"/>
    <col min="12305" max="12306" width="9.28515625" style="20"/>
    <col min="12307" max="12307" width="9.5703125" style="20" customWidth="1"/>
    <col min="12308" max="12308" width="17.7109375" style="20" customWidth="1"/>
    <col min="12309" max="12309" width="15" style="20" customWidth="1"/>
    <col min="12310" max="12544" width="9.28515625" style="20"/>
    <col min="12545" max="12545" width="1.85546875" style="20" customWidth="1"/>
    <col min="12546" max="12546" width="5.7109375" style="20" customWidth="1"/>
    <col min="12547" max="12547" width="7.7109375" style="20" customWidth="1"/>
    <col min="12548" max="12548" width="10" style="20" customWidth="1"/>
    <col min="12549" max="12549" width="11.42578125" style="20" customWidth="1"/>
    <col min="12550" max="12550" width="7.7109375" style="20" customWidth="1"/>
    <col min="12551" max="12551" width="6.42578125" style="20" customWidth="1"/>
    <col min="12552" max="12552" width="6.5703125" style="20" customWidth="1"/>
    <col min="12553" max="12553" width="5.85546875" style="20" customWidth="1"/>
    <col min="12554" max="12554" width="19.7109375" style="20" customWidth="1"/>
    <col min="12555" max="12555" width="18.85546875" style="20" customWidth="1"/>
    <col min="12556" max="12556" width="11.85546875" style="20" customWidth="1"/>
    <col min="12557" max="12557" width="6" style="20" customWidth="1"/>
    <col min="12558" max="12558" width="9.42578125" style="20" bestFit="1" customWidth="1"/>
    <col min="12559" max="12559" width="14.5703125" style="20" customWidth="1"/>
    <col min="12560" max="12560" width="3.85546875" style="20" customWidth="1"/>
    <col min="12561" max="12562" width="9.28515625" style="20"/>
    <col min="12563" max="12563" width="9.5703125" style="20" customWidth="1"/>
    <col min="12564" max="12564" width="17.7109375" style="20" customWidth="1"/>
    <col min="12565" max="12565" width="15" style="20" customWidth="1"/>
    <col min="12566" max="12800" width="9.28515625" style="20"/>
    <col min="12801" max="12801" width="1.85546875" style="20" customWidth="1"/>
    <col min="12802" max="12802" width="5.7109375" style="20" customWidth="1"/>
    <col min="12803" max="12803" width="7.7109375" style="20" customWidth="1"/>
    <col min="12804" max="12804" width="10" style="20" customWidth="1"/>
    <col min="12805" max="12805" width="11.42578125" style="20" customWidth="1"/>
    <col min="12806" max="12806" width="7.7109375" style="20" customWidth="1"/>
    <col min="12807" max="12807" width="6.42578125" style="20" customWidth="1"/>
    <col min="12808" max="12808" width="6.5703125" style="20" customWidth="1"/>
    <col min="12809" max="12809" width="5.85546875" style="20" customWidth="1"/>
    <col min="12810" max="12810" width="19.7109375" style="20" customWidth="1"/>
    <col min="12811" max="12811" width="18.85546875" style="20" customWidth="1"/>
    <col min="12812" max="12812" width="11.85546875" style="20" customWidth="1"/>
    <col min="12813" max="12813" width="6" style="20" customWidth="1"/>
    <col min="12814" max="12814" width="9.42578125" style="20" bestFit="1" customWidth="1"/>
    <col min="12815" max="12815" width="14.5703125" style="20" customWidth="1"/>
    <col min="12816" max="12816" width="3.85546875" style="20" customWidth="1"/>
    <col min="12817" max="12818" width="9.28515625" style="20"/>
    <col min="12819" max="12819" width="9.5703125" style="20" customWidth="1"/>
    <col min="12820" max="12820" width="17.7109375" style="20" customWidth="1"/>
    <col min="12821" max="12821" width="15" style="20" customWidth="1"/>
    <col min="12822" max="13056" width="9.28515625" style="20"/>
    <col min="13057" max="13057" width="1.85546875" style="20" customWidth="1"/>
    <col min="13058" max="13058" width="5.7109375" style="20" customWidth="1"/>
    <col min="13059" max="13059" width="7.7109375" style="20" customWidth="1"/>
    <col min="13060" max="13060" width="10" style="20" customWidth="1"/>
    <col min="13061" max="13061" width="11.42578125" style="20" customWidth="1"/>
    <col min="13062" max="13062" width="7.7109375" style="20" customWidth="1"/>
    <col min="13063" max="13063" width="6.42578125" style="20" customWidth="1"/>
    <col min="13064" max="13064" width="6.5703125" style="20" customWidth="1"/>
    <col min="13065" max="13065" width="5.85546875" style="20" customWidth="1"/>
    <col min="13066" max="13066" width="19.7109375" style="20" customWidth="1"/>
    <col min="13067" max="13067" width="18.85546875" style="20" customWidth="1"/>
    <col min="13068" max="13068" width="11.85546875" style="20" customWidth="1"/>
    <col min="13069" max="13069" width="6" style="20" customWidth="1"/>
    <col min="13070" max="13070" width="9.42578125" style="20" bestFit="1" customWidth="1"/>
    <col min="13071" max="13071" width="14.5703125" style="20" customWidth="1"/>
    <col min="13072" max="13072" width="3.85546875" style="20" customWidth="1"/>
    <col min="13073" max="13074" width="9.28515625" style="20"/>
    <col min="13075" max="13075" width="9.5703125" style="20" customWidth="1"/>
    <col min="13076" max="13076" width="17.7109375" style="20" customWidth="1"/>
    <col min="13077" max="13077" width="15" style="20" customWidth="1"/>
    <col min="13078" max="13312" width="9.28515625" style="20"/>
    <col min="13313" max="13313" width="1.85546875" style="20" customWidth="1"/>
    <col min="13314" max="13314" width="5.7109375" style="20" customWidth="1"/>
    <col min="13315" max="13315" width="7.7109375" style="20" customWidth="1"/>
    <col min="13316" max="13316" width="10" style="20" customWidth="1"/>
    <col min="13317" max="13317" width="11.42578125" style="20" customWidth="1"/>
    <col min="13318" max="13318" width="7.7109375" style="20" customWidth="1"/>
    <col min="13319" max="13319" width="6.42578125" style="20" customWidth="1"/>
    <col min="13320" max="13320" width="6.5703125" style="20" customWidth="1"/>
    <col min="13321" max="13321" width="5.85546875" style="20" customWidth="1"/>
    <col min="13322" max="13322" width="19.7109375" style="20" customWidth="1"/>
    <col min="13323" max="13323" width="18.85546875" style="20" customWidth="1"/>
    <col min="13324" max="13324" width="11.85546875" style="20" customWidth="1"/>
    <col min="13325" max="13325" width="6" style="20" customWidth="1"/>
    <col min="13326" max="13326" width="9.42578125" style="20" bestFit="1" customWidth="1"/>
    <col min="13327" max="13327" width="14.5703125" style="20" customWidth="1"/>
    <col min="13328" max="13328" width="3.85546875" style="20" customWidth="1"/>
    <col min="13329" max="13330" width="9.28515625" style="20"/>
    <col min="13331" max="13331" width="9.5703125" style="20" customWidth="1"/>
    <col min="13332" max="13332" width="17.7109375" style="20" customWidth="1"/>
    <col min="13333" max="13333" width="15" style="20" customWidth="1"/>
    <col min="13334" max="13568" width="9.28515625" style="20"/>
    <col min="13569" max="13569" width="1.85546875" style="20" customWidth="1"/>
    <col min="13570" max="13570" width="5.7109375" style="20" customWidth="1"/>
    <col min="13571" max="13571" width="7.7109375" style="20" customWidth="1"/>
    <col min="13572" max="13572" width="10" style="20" customWidth="1"/>
    <col min="13573" max="13573" width="11.42578125" style="20" customWidth="1"/>
    <col min="13574" max="13574" width="7.7109375" style="20" customWidth="1"/>
    <col min="13575" max="13575" width="6.42578125" style="20" customWidth="1"/>
    <col min="13576" max="13576" width="6.5703125" style="20" customWidth="1"/>
    <col min="13577" max="13577" width="5.85546875" style="20" customWidth="1"/>
    <col min="13578" max="13578" width="19.7109375" style="20" customWidth="1"/>
    <col min="13579" max="13579" width="18.85546875" style="20" customWidth="1"/>
    <col min="13580" max="13580" width="11.85546875" style="20" customWidth="1"/>
    <col min="13581" max="13581" width="6" style="20" customWidth="1"/>
    <col min="13582" max="13582" width="9.42578125" style="20" bestFit="1" customWidth="1"/>
    <col min="13583" max="13583" width="14.5703125" style="20" customWidth="1"/>
    <col min="13584" max="13584" width="3.85546875" style="20" customWidth="1"/>
    <col min="13585" max="13586" width="9.28515625" style="20"/>
    <col min="13587" max="13587" width="9.5703125" style="20" customWidth="1"/>
    <col min="13588" max="13588" width="17.7109375" style="20" customWidth="1"/>
    <col min="13589" max="13589" width="15" style="20" customWidth="1"/>
    <col min="13590" max="13824" width="9.28515625" style="20"/>
    <col min="13825" max="13825" width="1.85546875" style="20" customWidth="1"/>
    <col min="13826" max="13826" width="5.7109375" style="20" customWidth="1"/>
    <col min="13827" max="13827" width="7.7109375" style="20" customWidth="1"/>
    <col min="13828" max="13828" width="10" style="20" customWidth="1"/>
    <col min="13829" max="13829" width="11.42578125" style="20" customWidth="1"/>
    <col min="13830" max="13830" width="7.7109375" style="20" customWidth="1"/>
    <col min="13831" max="13831" width="6.42578125" style="20" customWidth="1"/>
    <col min="13832" max="13832" width="6.5703125" style="20" customWidth="1"/>
    <col min="13833" max="13833" width="5.85546875" style="20" customWidth="1"/>
    <col min="13834" max="13834" width="19.7109375" style="20" customWidth="1"/>
    <col min="13835" max="13835" width="18.85546875" style="20" customWidth="1"/>
    <col min="13836" max="13836" width="11.85546875" style="20" customWidth="1"/>
    <col min="13837" max="13837" width="6" style="20" customWidth="1"/>
    <col min="13838" max="13838" width="9.42578125" style="20" bestFit="1" customWidth="1"/>
    <col min="13839" max="13839" width="14.5703125" style="20" customWidth="1"/>
    <col min="13840" max="13840" width="3.85546875" style="20" customWidth="1"/>
    <col min="13841" max="13842" width="9.28515625" style="20"/>
    <col min="13843" max="13843" width="9.5703125" style="20" customWidth="1"/>
    <col min="13844" max="13844" width="17.7109375" style="20" customWidth="1"/>
    <col min="13845" max="13845" width="15" style="20" customWidth="1"/>
    <col min="13846" max="14080" width="9.28515625" style="20"/>
    <col min="14081" max="14081" width="1.85546875" style="20" customWidth="1"/>
    <col min="14082" max="14082" width="5.7109375" style="20" customWidth="1"/>
    <col min="14083" max="14083" width="7.7109375" style="20" customWidth="1"/>
    <col min="14084" max="14084" width="10" style="20" customWidth="1"/>
    <col min="14085" max="14085" width="11.42578125" style="20" customWidth="1"/>
    <col min="14086" max="14086" width="7.7109375" style="20" customWidth="1"/>
    <col min="14087" max="14087" width="6.42578125" style="20" customWidth="1"/>
    <col min="14088" max="14088" width="6.5703125" style="20" customWidth="1"/>
    <col min="14089" max="14089" width="5.85546875" style="20" customWidth="1"/>
    <col min="14090" max="14090" width="19.7109375" style="20" customWidth="1"/>
    <col min="14091" max="14091" width="18.85546875" style="20" customWidth="1"/>
    <col min="14092" max="14092" width="11.85546875" style="20" customWidth="1"/>
    <col min="14093" max="14093" width="6" style="20" customWidth="1"/>
    <col min="14094" max="14094" width="9.42578125" style="20" bestFit="1" customWidth="1"/>
    <col min="14095" max="14095" width="14.5703125" style="20" customWidth="1"/>
    <col min="14096" max="14096" width="3.85546875" style="20" customWidth="1"/>
    <col min="14097" max="14098" width="9.28515625" style="20"/>
    <col min="14099" max="14099" width="9.5703125" style="20" customWidth="1"/>
    <col min="14100" max="14100" width="17.7109375" style="20" customWidth="1"/>
    <col min="14101" max="14101" width="15" style="20" customWidth="1"/>
    <col min="14102" max="14336" width="9.28515625" style="20"/>
    <col min="14337" max="14337" width="1.85546875" style="20" customWidth="1"/>
    <col min="14338" max="14338" width="5.7109375" style="20" customWidth="1"/>
    <col min="14339" max="14339" width="7.7109375" style="20" customWidth="1"/>
    <col min="14340" max="14340" width="10" style="20" customWidth="1"/>
    <col min="14341" max="14341" width="11.42578125" style="20" customWidth="1"/>
    <col min="14342" max="14342" width="7.7109375" style="20" customWidth="1"/>
    <col min="14343" max="14343" width="6.42578125" style="20" customWidth="1"/>
    <col min="14344" max="14344" width="6.5703125" style="20" customWidth="1"/>
    <col min="14345" max="14345" width="5.85546875" style="20" customWidth="1"/>
    <col min="14346" max="14346" width="19.7109375" style="20" customWidth="1"/>
    <col min="14347" max="14347" width="18.85546875" style="20" customWidth="1"/>
    <col min="14348" max="14348" width="11.85546875" style="20" customWidth="1"/>
    <col min="14349" max="14349" width="6" style="20" customWidth="1"/>
    <col min="14350" max="14350" width="9.42578125" style="20" bestFit="1" customWidth="1"/>
    <col min="14351" max="14351" width="14.5703125" style="20" customWidth="1"/>
    <col min="14352" max="14352" width="3.85546875" style="20" customWidth="1"/>
    <col min="14353" max="14354" width="9.28515625" style="20"/>
    <col min="14355" max="14355" width="9.5703125" style="20" customWidth="1"/>
    <col min="14356" max="14356" width="17.7109375" style="20" customWidth="1"/>
    <col min="14357" max="14357" width="15" style="20" customWidth="1"/>
    <col min="14358" max="14592" width="9.28515625" style="20"/>
    <col min="14593" max="14593" width="1.85546875" style="20" customWidth="1"/>
    <col min="14594" max="14594" width="5.7109375" style="20" customWidth="1"/>
    <col min="14595" max="14595" width="7.7109375" style="20" customWidth="1"/>
    <col min="14596" max="14596" width="10" style="20" customWidth="1"/>
    <col min="14597" max="14597" width="11.42578125" style="20" customWidth="1"/>
    <col min="14598" max="14598" width="7.7109375" style="20" customWidth="1"/>
    <col min="14599" max="14599" width="6.42578125" style="20" customWidth="1"/>
    <col min="14600" max="14600" width="6.5703125" style="20" customWidth="1"/>
    <col min="14601" max="14601" width="5.85546875" style="20" customWidth="1"/>
    <col min="14602" max="14602" width="19.7109375" style="20" customWidth="1"/>
    <col min="14603" max="14603" width="18.85546875" style="20" customWidth="1"/>
    <col min="14604" max="14604" width="11.85546875" style="20" customWidth="1"/>
    <col min="14605" max="14605" width="6" style="20" customWidth="1"/>
    <col min="14606" max="14606" width="9.42578125" style="20" bestFit="1" customWidth="1"/>
    <col min="14607" max="14607" width="14.5703125" style="20" customWidth="1"/>
    <col min="14608" max="14608" width="3.85546875" style="20" customWidth="1"/>
    <col min="14609" max="14610" width="9.28515625" style="20"/>
    <col min="14611" max="14611" width="9.5703125" style="20" customWidth="1"/>
    <col min="14612" max="14612" width="17.7109375" style="20" customWidth="1"/>
    <col min="14613" max="14613" width="15" style="20" customWidth="1"/>
    <col min="14614" max="14848" width="9.28515625" style="20"/>
    <col min="14849" max="14849" width="1.85546875" style="20" customWidth="1"/>
    <col min="14850" max="14850" width="5.7109375" style="20" customWidth="1"/>
    <col min="14851" max="14851" width="7.7109375" style="20" customWidth="1"/>
    <col min="14852" max="14852" width="10" style="20" customWidth="1"/>
    <col min="14853" max="14853" width="11.42578125" style="20" customWidth="1"/>
    <col min="14854" max="14854" width="7.7109375" style="20" customWidth="1"/>
    <col min="14855" max="14855" width="6.42578125" style="20" customWidth="1"/>
    <col min="14856" max="14856" width="6.5703125" style="20" customWidth="1"/>
    <col min="14857" max="14857" width="5.85546875" style="20" customWidth="1"/>
    <col min="14858" max="14858" width="19.7109375" style="20" customWidth="1"/>
    <col min="14859" max="14859" width="18.85546875" style="20" customWidth="1"/>
    <col min="14860" max="14860" width="11.85546875" style="20" customWidth="1"/>
    <col min="14861" max="14861" width="6" style="20" customWidth="1"/>
    <col min="14862" max="14862" width="9.42578125" style="20" bestFit="1" customWidth="1"/>
    <col min="14863" max="14863" width="14.5703125" style="20" customWidth="1"/>
    <col min="14864" max="14864" width="3.85546875" style="20" customWidth="1"/>
    <col min="14865" max="14866" width="9.28515625" style="20"/>
    <col min="14867" max="14867" width="9.5703125" style="20" customWidth="1"/>
    <col min="14868" max="14868" width="17.7109375" style="20" customWidth="1"/>
    <col min="14869" max="14869" width="15" style="20" customWidth="1"/>
    <col min="14870" max="15104" width="9.28515625" style="20"/>
    <col min="15105" max="15105" width="1.85546875" style="20" customWidth="1"/>
    <col min="15106" max="15106" width="5.7109375" style="20" customWidth="1"/>
    <col min="15107" max="15107" width="7.7109375" style="20" customWidth="1"/>
    <col min="15108" max="15108" width="10" style="20" customWidth="1"/>
    <col min="15109" max="15109" width="11.42578125" style="20" customWidth="1"/>
    <col min="15110" max="15110" width="7.7109375" style="20" customWidth="1"/>
    <col min="15111" max="15111" width="6.42578125" style="20" customWidth="1"/>
    <col min="15112" max="15112" width="6.5703125" style="20" customWidth="1"/>
    <col min="15113" max="15113" width="5.85546875" style="20" customWidth="1"/>
    <col min="15114" max="15114" width="19.7109375" style="20" customWidth="1"/>
    <col min="15115" max="15115" width="18.85546875" style="20" customWidth="1"/>
    <col min="15116" max="15116" width="11.85546875" style="20" customWidth="1"/>
    <col min="15117" max="15117" width="6" style="20" customWidth="1"/>
    <col min="15118" max="15118" width="9.42578125" style="20" bestFit="1" customWidth="1"/>
    <col min="15119" max="15119" width="14.5703125" style="20" customWidth="1"/>
    <col min="15120" max="15120" width="3.85546875" style="20" customWidth="1"/>
    <col min="15121" max="15122" width="9.28515625" style="20"/>
    <col min="15123" max="15123" width="9.5703125" style="20" customWidth="1"/>
    <col min="15124" max="15124" width="17.7109375" style="20" customWidth="1"/>
    <col min="15125" max="15125" width="15" style="20" customWidth="1"/>
    <col min="15126" max="15360" width="9.28515625" style="20"/>
    <col min="15361" max="15361" width="1.85546875" style="20" customWidth="1"/>
    <col min="15362" max="15362" width="5.7109375" style="20" customWidth="1"/>
    <col min="15363" max="15363" width="7.7109375" style="20" customWidth="1"/>
    <col min="15364" max="15364" width="10" style="20" customWidth="1"/>
    <col min="15365" max="15365" width="11.42578125" style="20" customWidth="1"/>
    <col min="15366" max="15366" width="7.7109375" style="20" customWidth="1"/>
    <col min="15367" max="15367" width="6.42578125" style="20" customWidth="1"/>
    <col min="15368" max="15368" width="6.5703125" style="20" customWidth="1"/>
    <col min="15369" max="15369" width="5.85546875" style="20" customWidth="1"/>
    <col min="15370" max="15370" width="19.7109375" style="20" customWidth="1"/>
    <col min="15371" max="15371" width="18.85546875" style="20" customWidth="1"/>
    <col min="15372" max="15372" width="11.85546875" style="20" customWidth="1"/>
    <col min="15373" max="15373" width="6" style="20" customWidth="1"/>
    <col min="15374" max="15374" width="9.42578125" style="20" bestFit="1" customWidth="1"/>
    <col min="15375" max="15375" width="14.5703125" style="20" customWidth="1"/>
    <col min="15376" max="15376" width="3.85546875" style="20" customWidth="1"/>
    <col min="15377" max="15378" width="9.28515625" style="20"/>
    <col min="15379" max="15379" width="9.5703125" style="20" customWidth="1"/>
    <col min="15380" max="15380" width="17.7109375" style="20" customWidth="1"/>
    <col min="15381" max="15381" width="15" style="20" customWidth="1"/>
    <col min="15382" max="15616" width="9.28515625" style="20"/>
    <col min="15617" max="15617" width="1.85546875" style="20" customWidth="1"/>
    <col min="15618" max="15618" width="5.7109375" style="20" customWidth="1"/>
    <col min="15619" max="15619" width="7.7109375" style="20" customWidth="1"/>
    <col min="15620" max="15620" width="10" style="20" customWidth="1"/>
    <col min="15621" max="15621" width="11.42578125" style="20" customWidth="1"/>
    <col min="15622" max="15622" width="7.7109375" style="20" customWidth="1"/>
    <col min="15623" max="15623" width="6.42578125" style="20" customWidth="1"/>
    <col min="15624" max="15624" width="6.5703125" style="20" customWidth="1"/>
    <col min="15625" max="15625" width="5.85546875" style="20" customWidth="1"/>
    <col min="15626" max="15626" width="19.7109375" style="20" customWidth="1"/>
    <col min="15627" max="15627" width="18.85546875" style="20" customWidth="1"/>
    <col min="15628" max="15628" width="11.85546875" style="20" customWidth="1"/>
    <col min="15629" max="15629" width="6" style="20" customWidth="1"/>
    <col min="15630" max="15630" width="9.42578125" style="20" bestFit="1" customWidth="1"/>
    <col min="15631" max="15631" width="14.5703125" style="20" customWidth="1"/>
    <col min="15632" max="15632" width="3.85546875" style="20" customWidth="1"/>
    <col min="15633" max="15634" width="9.28515625" style="20"/>
    <col min="15635" max="15635" width="9.5703125" style="20" customWidth="1"/>
    <col min="15636" max="15636" width="17.7109375" style="20" customWidth="1"/>
    <col min="15637" max="15637" width="15" style="20" customWidth="1"/>
    <col min="15638" max="15872" width="9.28515625" style="20"/>
    <col min="15873" max="15873" width="1.85546875" style="20" customWidth="1"/>
    <col min="15874" max="15874" width="5.7109375" style="20" customWidth="1"/>
    <col min="15875" max="15875" width="7.7109375" style="20" customWidth="1"/>
    <col min="15876" max="15876" width="10" style="20" customWidth="1"/>
    <col min="15877" max="15877" width="11.42578125" style="20" customWidth="1"/>
    <col min="15878" max="15878" width="7.7109375" style="20" customWidth="1"/>
    <col min="15879" max="15879" width="6.42578125" style="20" customWidth="1"/>
    <col min="15880" max="15880" width="6.5703125" style="20" customWidth="1"/>
    <col min="15881" max="15881" width="5.85546875" style="20" customWidth="1"/>
    <col min="15882" max="15882" width="19.7109375" style="20" customWidth="1"/>
    <col min="15883" max="15883" width="18.85546875" style="20" customWidth="1"/>
    <col min="15884" max="15884" width="11.85546875" style="20" customWidth="1"/>
    <col min="15885" max="15885" width="6" style="20" customWidth="1"/>
    <col min="15886" max="15886" width="9.42578125" style="20" bestFit="1" customWidth="1"/>
    <col min="15887" max="15887" width="14.5703125" style="20" customWidth="1"/>
    <col min="15888" max="15888" width="3.85546875" style="20" customWidth="1"/>
    <col min="15889" max="15890" width="9.28515625" style="20"/>
    <col min="15891" max="15891" width="9.5703125" style="20" customWidth="1"/>
    <col min="15892" max="15892" width="17.7109375" style="20" customWidth="1"/>
    <col min="15893" max="15893" width="15" style="20" customWidth="1"/>
    <col min="15894" max="16128" width="9.28515625" style="20"/>
    <col min="16129" max="16129" width="1.85546875" style="20" customWidth="1"/>
    <col min="16130" max="16130" width="5.7109375" style="20" customWidth="1"/>
    <col min="16131" max="16131" width="7.7109375" style="20" customWidth="1"/>
    <col min="16132" max="16132" width="10" style="20" customWidth="1"/>
    <col min="16133" max="16133" width="11.42578125" style="20" customWidth="1"/>
    <col min="16134" max="16134" width="7.7109375" style="20" customWidth="1"/>
    <col min="16135" max="16135" width="6.42578125" style="20" customWidth="1"/>
    <col min="16136" max="16136" width="6.5703125" style="20" customWidth="1"/>
    <col min="16137" max="16137" width="5.85546875" style="20" customWidth="1"/>
    <col min="16138" max="16138" width="19.7109375" style="20" customWidth="1"/>
    <col min="16139" max="16139" width="18.85546875" style="20" customWidth="1"/>
    <col min="16140" max="16140" width="11.85546875" style="20" customWidth="1"/>
    <col min="16141" max="16141" width="6" style="20" customWidth="1"/>
    <col min="16142" max="16142" width="9.42578125" style="20" bestFit="1" customWidth="1"/>
    <col min="16143" max="16143" width="14.5703125" style="20" customWidth="1"/>
    <col min="16144" max="16144" width="3.85546875" style="20" customWidth="1"/>
    <col min="16145" max="16146" width="9.28515625" style="20"/>
    <col min="16147" max="16147" width="9.5703125" style="20" customWidth="1"/>
    <col min="16148" max="16148" width="17.7109375" style="20" customWidth="1"/>
    <col min="16149" max="16149" width="15" style="20" customWidth="1"/>
    <col min="16150" max="16384" width="9.28515625" style="20"/>
  </cols>
  <sheetData>
    <row r="1" spans="2:15" ht="86.65" customHeight="1" x14ac:dyDescent="0.3">
      <c r="B1" s="164" t="s">
        <v>122</v>
      </c>
      <c r="C1" s="164"/>
      <c r="D1" s="164"/>
      <c r="E1" s="165" t="s">
        <v>33</v>
      </c>
      <c r="F1" s="165"/>
      <c r="G1" s="165"/>
      <c r="H1" s="165"/>
      <c r="I1" s="165"/>
      <c r="J1" s="165"/>
      <c r="K1" s="165"/>
    </row>
    <row r="2" spans="2:15" ht="15.75" customHeight="1" x14ac:dyDescent="0.25">
      <c r="B2" s="166" t="str">
        <f>'Thong so chung'!C3</f>
        <v>JUN/EW-NN/17000000-NB/07</v>
      </c>
      <c r="C2" s="166"/>
      <c r="D2" s="166"/>
      <c r="E2" s="167" t="s">
        <v>34</v>
      </c>
      <c r="F2" s="167"/>
      <c r="G2" s="167"/>
      <c r="H2" s="167"/>
      <c r="I2" s="167"/>
      <c r="J2" s="167"/>
      <c r="K2" s="167"/>
    </row>
    <row r="3" spans="2:15" ht="9" customHeight="1" x14ac:dyDescent="0.25">
      <c r="I3" s="43"/>
    </row>
    <row r="4" spans="2:15" x14ac:dyDescent="0.25">
      <c r="B4" s="44" t="s">
        <v>35</v>
      </c>
      <c r="C4" s="45" t="s">
        <v>155</v>
      </c>
      <c r="E4" s="168" t="str">
        <f>'Thong so chung'!C12</f>
        <v>SG 10678</v>
      </c>
      <c r="F4" s="168"/>
      <c r="G4" s="30"/>
      <c r="H4" s="30"/>
      <c r="I4" s="47" t="s">
        <v>36</v>
      </c>
      <c r="J4" s="48" t="s">
        <v>37</v>
      </c>
      <c r="K4" s="49" t="str">
        <f>'Thong so chung'!C13</f>
        <v>Việt Nam</v>
      </c>
    </row>
    <row r="5" spans="2:15" x14ac:dyDescent="0.25">
      <c r="B5" s="43"/>
      <c r="C5" s="169" t="s">
        <v>156</v>
      </c>
      <c r="D5" s="169"/>
      <c r="E5" s="20" t="s">
        <v>38</v>
      </c>
      <c r="F5" s="2"/>
      <c r="G5" s="2"/>
      <c r="I5" s="47"/>
      <c r="J5" s="50" t="s">
        <v>39</v>
      </c>
    </row>
    <row r="6" spans="2:15" x14ac:dyDescent="0.25">
      <c r="B6" s="44" t="s">
        <v>40</v>
      </c>
      <c r="C6" s="48" t="s">
        <v>41</v>
      </c>
      <c r="D6" s="50"/>
      <c r="E6" s="162" t="s">
        <v>159</v>
      </c>
      <c r="F6" s="163"/>
      <c r="G6" s="163"/>
      <c r="H6" s="163"/>
      <c r="I6" s="44" t="s">
        <v>42</v>
      </c>
      <c r="J6" s="48" t="s">
        <v>43</v>
      </c>
      <c r="K6" s="51" t="str">
        <f>'Thong so chung'!C18</f>
        <v>31/05/2026</v>
      </c>
    </row>
    <row r="7" spans="2:15" x14ac:dyDescent="0.25">
      <c r="B7" s="47"/>
      <c r="C7" s="50" t="s">
        <v>44</v>
      </c>
      <c r="D7" s="50"/>
      <c r="E7" s="5"/>
      <c r="F7" s="5"/>
      <c r="G7" s="5"/>
      <c r="H7" s="5"/>
      <c r="I7" s="47"/>
      <c r="J7" s="50" t="s">
        <v>45</v>
      </c>
    </row>
    <row r="8" spans="2:15" x14ac:dyDescent="0.25">
      <c r="B8" s="44" t="s">
        <v>46</v>
      </c>
      <c r="C8" s="48" t="s">
        <v>47</v>
      </c>
      <c r="D8" s="50"/>
      <c r="E8" s="5" t="str">
        <f>+'Thong so chung'!C15</f>
        <v>PHAO THIỀNG LIỀNG</v>
      </c>
      <c r="I8" s="44" t="s">
        <v>48</v>
      </c>
      <c r="J8" s="48" t="s">
        <v>49</v>
      </c>
      <c r="K8" s="51" t="str">
        <f>'Thong so chung'!C22</f>
        <v>01/06/2026</v>
      </c>
      <c r="O8" s="20" t="s">
        <v>157</v>
      </c>
    </row>
    <row r="9" spans="2:15" x14ac:dyDescent="0.25">
      <c r="C9" s="50" t="s">
        <v>50</v>
      </c>
      <c r="D9" s="50"/>
      <c r="F9" s="52"/>
      <c r="G9" s="52"/>
      <c r="H9" s="53"/>
      <c r="I9" s="43"/>
      <c r="J9" s="50" t="s">
        <v>51</v>
      </c>
    </row>
    <row r="10" spans="2:15" ht="8.25" customHeight="1" thickBot="1" x14ac:dyDescent="0.3"/>
    <row r="11" spans="2:15" ht="17.25" customHeight="1" x14ac:dyDescent="0.25">
      <c r="B11" s="170" t="s">
        <v>52</v>
      </c>
      <c r="C11" s="171"/>
      <c r="D11" s="171"/>
      <c r="E11" s="171"/>
      <c r="F11" s="171"/>
      <c r="G11" s="171"/>
      <c r="H11" s="171" t="s">
        <v>53</v>
      </c>
      <c r="I11" s="171"/>
      <c r="J11" s="171"/>
      <c r="K11" s="172"/>
    </row>
    <row r="12" spans="2:15" ht="17.25" customHeight="1" x14ac:dyDescent="0.25">
      <c r="B12" s="173" t="s">
        <v>54</v>
      </c>
      <c r="C12" s="174"/>
      <c r="D12" s="174"/>
      <c r="E12" s="174"/>
      <c r="F12" s="174"/>
      <c r="G12" s="174"/>
      <c r="H12" s="175" t="s">
        <v>55</v>
      </c>
      <c r="I12" s="175"/>
      <c r="J12" s="175"/>
      <c r="K12" s="176"/>
    </row>
    <row r="13" spans="2:15" x14ac:dyDescent="0.25">
      <c r="B13" s="177" t="s">
        <v>56</v>
      </c>
      <c r="C13" s="178"/>
      <c r="D13" s="115" t="s">
        <v>57</v>
      </c>
      <c r="E13" s="115" t="s">
        <v>58</v>
      </c>
      <c r="F13" s="178" t="s">
        <v>59</v>
      </c>
      <c r="G13" s="178"/>
      <c r="H13" s="178" t="s">
        <v>58</v>
      </c>
      <c r="I13" s="178"/>
      <c r="J13" s="54" t="s">
        <v>59</v>
      </c>
      <c r="K13" s="117" t="s">
        <v>60</v>
      </c>
    </row>
    <row r="14" spans="2:15" x14ac:dyDescent="0.25">
      <c r="B14" s="179" t="s">
        <v>61</v>
      </c>
      <c r="C14" s="180"/>
      <c r="D14" s="116" t="s">
        <v>62</v>
      </c>
      <c r="E14" s="116" t="s">
        <v>63</v>
      </c>
      <c r="F14" s="180" t="s">
        <v>64</v>
      </c>
      <c r="G14" s="180"/>
      <c r="H14" s="180" t="s">
        <v>63</v>
      </c>
      <c r="I14" s="180"/>
      <c r="J14" s="55" t="s">
        <v>64</v>
      </c>
      <c r="K14" s="118" t="s">
        <v>65</v>
      </c>
    </row>
    <row r="15" spans="2:15" ht="19.5" customHeight="1" x14ac:dyDescent="0.25">
      <c r="B15" s="181" t="str">
        <f>'Thong so chung'!C4</f>
        <v>CÔNG TY EASTWOOD ENERGY</v>
      </c>
      <c r="C15" s="182"/>
      <c r="D15" s="183"/>
      <c r="E15" s="184"/>
      <c r="F15" s="185">
        <f>'Thong so chung'!C6</f>
        <v>0</v>
      </c>
      <c r="G15" s="185"/>
      <c r="H15" s="186">
        <f>'Thong so chung'!C7</f>
        <v>64</v>
      </c>
      <c r="I15" s="186"/>
      <c r="J15" s="195">
        <f>'Thong so chung'!C8</f>
        <v>2226130</v>
      </c>
      <c r="K15" s="187" t="str">
        <f>'Thong so chung'!C5</f>
        <v>VIÊN NÉN GỖ (SBP Compliant Biomass)</v>
      </c>
    </row>
    <row r="16" spans="2:15" ht="22.5" customHeight="1" x14ac:dyDescent="0.25">
      <c r="B16" s="181"/>
      <c r="C16" s="182"/>
      <c r="D16" s="183"/>
      <c r="E16" s="184"/>
      <c r="F16" s="185"/>
      <c r="G16" s="185"/>
      <c r="H16" s="186"/>
      <c r="I16" s="186"/>
      <c r="J16" s="195"/>
      <c r="K16" s="188"/>
    </row>
    <row r="17" spans="2:11" ht="18" customHeight="1" thickBot="1" x14ac:dyDescent="0.3">
      <c r="B17" s="189" t="s">
        <v>66</v>
      </c>
      <c r="C17" s="190"/>
      <c r="D17" s="190"/>
      <c r="E17" s="119"/>
      <c r="F17" s="191">
        <f>F15</f>
        <v>0</v>
      </c>
      <c r="G17" s="191"/>
      <c r="H17" s="192">
        <f>H15</f>
        <v>64</v>
      </c>
      <c r="I17" s="192"/>
      <c r="J17" s="122">
        <f>J15</f>
        <v>2226130</v>
      </c>
      <c r="K17" s="120"/>
    </row>
    <row r="18" spans="2:11" ht="6.75" customHeight="1" x14ac:dyDescent="0.25">
      <c r="B18" s="194"/>
      <c r="C18" s="194"/>
      <c r="D18" s="194"/>
      <c r="E18" s="194"/>
      <c r="F18" s="194"/>
      <c r="G18" s="194"/>
      <c r="H18" s="194"/>
      <c r="I18" s="194"/>
      <c r="J18" s="194"/>
      <c r="K18" s="56"/>
    </row>
    <row r="19" spans="2:11" ht="15" customHeight="1" x14ac:dyDescent="0.25">
      <c r="B19" s="126" t="s">
        <v>148</v>
      </c>
      <c r="C19" s="48"/>
      <c r="D19" s="43"/>
      <c r="E19" s="43"/>
      <c r="F19" s="43"/>
      <c r="G19" s="43"/>
      <c r="H19" s="43"/>
      <c r="I19" s="43"/>
      <c r="J19" s="43"/>
      <c r="K19" s="43"/>
    </row>
    <row r="20" spans="2:11" ht="4.5" customHeight="1" x14ac:dyDescent="0.25">
      <c r="B20" s="48"/>
      <c r="C20" s="48"/>
      <c r="D20" s="43"/>
      <c r="E20" s="43"/>
      <c r="F20" s="43"/>
      <c r="G20" s="43"/>
      <c r="H20" s="43"/>
      <c r="I20" s="43"/>
      <c r="J20" s="43"/>
      <c r="K20" s="43"/>
    </row>
    <row r="21" spans="2:11" ht="15" customHeight="1" x14ac:dyDescent="0.25">
      <c r="B21" s="126" t="s">
        <v>149</v>
      </c>
      <c r="C21" s="48"/>
      <c r="D21" s="43"/>
      <c r="E21" s="127" t="s">
        <v>151</v>
      </c>
      <c r="F21" s="196">
        <f>'Thong so chung'!C9</f>
        <v>523000</v>
      </c>
      <c r="G21" s="196"/>
      <c r="H21" s="43" t="s">
        <v>154</v>
      </c>
      <c r="I21" s="43"/>
      <c r="J21" s="43"/>
      <c r="K21" s="43"/>
    </row>
    <row r="22" spans="2:11" ht="15" customHeight="1" x14ac:dyDescent="0.25">
      <c r="B22" s="48"/>
      <c r="C22" s="48"/>
      <c r="D22" s="43"/>
      <c r="E22" s="127" t="s">
        <v>152</v>
      </c>
      <c r="F22" s="196">
        <f>'Thong so chung'!C10</f>
        <v>0</v>
      </c>
      <c r="G22" s="196"/>
      <c r="H22" s="43" t="s">
        <v>154</v>
      </c>
      <c r="I22" s="43"/>
      <c r="J22" s="43"/>
      <c r="K22" s="43"/>
    </row>
    <row r="23" spans="2:11" ht="15" customHeight="1" x14ac:dyDescent="0.25">
      <c r="B23" s="48"/>
      <c r="C23" s="48"/>
      <c r="D23" s="43"/>
      <c r="E23" s="127" t="s">
        <v>153</v>
      </c>
      <c r="F23" s="196">
        <f>'Thong so chung'!C11</f>
        <v>1703130</v>
      </c>
      <c r="G23" s="196"/>
      <c r="H23" s="43" t="s">
        <v>154</v>
      </c>
      <c r="I23" s="43"/>
      <c r="J23" s="43"/>
      <c r="K23" s="43"/>
    </row>
    <row r="24" spans="2:11" ht="4.5" customHeight="1" x14ac:dyDescent="0.25">
      <c r="B24" s="57"/>
      <c r="C24" s="57"/>
      <c r="D24" s="57"/>
      <c r="F24" s="57"/>
      <c r="G24" s="57"/>
      <c r="H24" s="57"/>
      <c r="I24" s="57"/>
      <c r="J24" s="57"/>
      <c r="K24" s="57"/>
    </row>
    <row r="25" spans="2:11" ht="19.5" customHeight="1" x14ac:dyDescent="0.25">
      <c r="B25" s="58" t="s">
        <v>150</v>
      </c>
      <c r="C25" s="43"/>
      <c r="D25" s="48"/>
      <c r="E25" s="59" t="s">
        <v>124</v>
      </c>
      <c r="F25" s="60"/>
      <c r="G25" s="61" t="str">
        <f>'Thong so chung'!B20&amp;" "&amp;"-"&amp;" "&amp;'Thong so chung'!C20</f>
        <v>08:56 - 31/05/2026</v>
      </c>
      <c r="H25" s="62"/>
      <c r="I25" s="62"/>
      <c r="J25" s="62"/>
      <c r="K25" s="63"/>
    </row>
    <row r="26" spans="2:11" ht="19.5" customHeight="1" x14ac:dyDescent="0.25">
      <c r="D26" s="64"/>
      <c r="E26" s="86" t="s">
        <v>125</v>
      </c>
      <c r="F26" s="86"/>
      <c r="G26" s="61" t="str">
        <f>'Thong so chung'!B21&amp;" "&amp;"-"&amp;" "&amp;'Thong so chung'!C21</f>
        <v>04:31 - 01/06/2026</v>
      </c>
      <c r="H26" s="86"/>
      <c r="I26" s="86"/>
      <c r="J26" s="86"/>
      <c r="K26" s="63"/>
    </row>
    <row r="27" spans="2:11" ht="19.5" customHeight="1" x14ac:dyDescent="0.25">
      <c r="B27" s="65"/>
      <c r="C27" s="43"/>
      <c r="D27" s="48"/>
      <c r="E27" s="193" t="s">
        <v>67</v>
      </c>
      <c r="F27" s="193"/>
      <c r="G27" s="193"/>
      <c r="H27" s="193"/>
      <c r="I27" s="193"/>
      <c r="J27" s="193"/>
      <c r="K27" s="63"/>
    </row>
    <row r="28" spans="2:11" ht="4.5" customHeight="1" x14ac:dyDescent="0.25">
      <c r="B28" s="65"/>
      <c r="C28" s="43"/>
      <c r="D28" s="48"/>
      <c r="E28" s="64"/>
      <c r="F28" s="64"/>
      <c r="G28" s="64"/>
      <c r="H28" s="64"/>
      <c r="I28" s="64"/>
      <c r="J28" s="64"/>
      <c r="K28" s="63"/>
    </row>
    <row r="29" spans="2:11" ht="17.100000000000001" customHeight="1" x14ac:dyDescent="0.25">
      <c r="B29" s="197" t="s">
        <v>68</v>
      </c>
      <c r="C29" s="197"/>
      <c r="D29" s="197"/>
      <c r="E29" s="197"/>
      <c r="F29" s="197"/>
      <c r="G29" s="197"/>
      <c r="H29" s="197" t="s">
        <v>69</v>
      </c>
      <c r="I29" s="197"/>
      <c r="J29" s="197"/>
      <c r="K29" s="197"/>
    </row>
    <row r="30" spans="2:11" ht="17.100000000000001" customHeight="1" x14ac:dyDescent="0.25">
      <c r="B30" s="198" t="s">
        <v>70</v>
      </c>
      <c r="C30" s="199"/>
      <c r="D30" s="199"/>
      <c r="E30" s="199"/>
      <c r="F30" s="199"/>
      <c r="G30" s="199"/>
      <c r="H30" s="198" t="s">
        <v>71</v>
      </c>
      <c r="I30" s="199"/>
      <c r="J30" s="199"/>
      <c r="K30" s="199"/>
    </row>
    <row r="31" spans="2:11" ht="17.100000000000001" customHeight="1" x14ac:dyDescent="0.25">
      <c r="B31" s="199" t="s">
        <v>72</v>
      </c>
      <c r="C31" s="199"/>
      <c r="D31" s="199"/>
      <c r="E31" s="199"/>
      <c r="F31" s="199"/>
      <c r="G31" s="199"/>
      <c r="H31" s="199" t="s">
        <v>73</v>
      </c>
      <c r="I31" s="199"/>
      <c r="J31" s="199"/>
      <c r="K31" s="199"/>
    </row>
    <row r="32" spans="2:11" ht="17.100000000000001" customHeight="1" x14ac:dyDescent="0.25">
      <c r="B32" s="198" t="s">
        <v>74</v>
      </c>
      <c r="C32" s="199"/>
      <c r="D32" s="199"/>
      <c r="E32" s="199"/>
      <c r="F32" s="199"/>
      <c r="G32" s="199"/>
      <c r="H32" s="198" t="s">
        <v>75</v>
      </c>
      <c r="I32" s="199"/>
      <c r="J32" s="199"/>
      <c r="K32" s="199"/>
    </row>
    <row r="33" spans="2:11" ht="17.100000000000001" customHeight="1" x14ac:dyDescent="0.25">
      <c r="B33" s="199" t="s">
        <v>76</v>
      </c>
      <c r="C33" s="199"/>
      <c r="D33" s="199"/>
      <c r="E33" s="199"/>
      <c r="F33" s="199"/>
      <c r="G33" s="199"/>
      <c r="H33" s="199" t="s">
        <v>77</v>
      </c>
      <c r="I33" s="199"/>
      <c r="J33" s="199"/>
      <c r="K33" s="199"/>
    </row>
    <row r="34" spans="2:11" ht="23.25" customHeight="1" x14ac:dyDescent="0.25">
      <c r="B34" s="198" t="s">
        <v>78</v>
      </c>
      <c r="C34" s="199"/>
      <c r="D34" s="199"/>
      <c r="E34" s="199"/>
      <c r="F34" s="199"/>
      <c r="G34" s="199"/>
      <c r="H34" s="198" t="s">
        <v>79</v>
      </c>
      <c r="I34" s="199"/>
      <c r="J34" s="199"/>
      <c r="K34" s="199"/>
    </row>
    <row r="35" spans="2:11" ht="5.25" customHeight="1" x14ac:dyDescent="0.25">
      <c r="B35" s="66"/>
      <c r="C35" s="66"/>
      <c r="D35" s="66"/>
      <c r="E35" s="67"/>
      <c r="F35" s="66"/>
      <c r="G35" s="66"/>
      <c r="H35" s="68"/>
      <c r="I35" s="68"/>
      <c r="J35" s="197"/>
      <c r="K35" s="197"/>
    </row>
    <row r="36" spans="2:11" ht="17.100000000000001" customHeight="1" x14ac:dyDescent="0.25">
      <c r="B36" s="200" t="s">
        <v>24</v>
      </c>
      <c r="C36" s="200"/>
      <c r="D36" s="200"/>
      <c r="E36" s="200"/>
      <c r="F36" s="200" t="s">
        <v>29</v>
      </c>
      <c r="G36" s="200"/>
      <c r="H36" s="200"/>
      <c r="I36" s="200"/>
      <c r="J36" s="200" t="s">
        <v>30</v>
      </c>
      <c r="K36" s="200"/>
    </row>
    <row r="37" spans="2:11" ht="17.100000000000001" customHeight="1" x14ac:dyDescent="0.25">
      <c r="B37" s="202" t="s">
        <v>25</v>
      </c>
      <c r="C37" s="202"/>
      <c r="D37" s="202"/>
      <c r="E37" s="202"/>
      <c r="F37" s="202" t="s">
        <v>26</v>
      </c>
      <c r="G37" s="202"/>
      <c r="H37" s="202"/>
      <c r="I37" s="202"/>
      <c r="J37" s="202" t="s">
        <v>31</v>
      </c>
      <c r="K37" s="202"/>
    </row>
    <row r="38" spans="2:11" ht="17.100000000000001" customHeight="1" x14ac:dyDescent="0.25">
      <c r="B38" s="200" t="s">
        <v>27</v>
      </c>
      <c r="C38" s="200"/>
      <c r="D38" s="200"/>
      <c r="E38" s="200"/>
      <c r="F38" s="203" t="s">
        <v>27</v>
      </c>
      <c r="G38" s="203"/>
      <c r="H38" s="203"/>
      <c r="I38" s="203"/>
      <c r="J38" s="200" t="s">
        <v>27</v>
      </c>
      <c r="K38" s="200"/>
    </row>
    <row r="39" spans="2:11" x14ac:dyDescent="0.25">
      <c r="J39" s="201"/>
      <c r="K39" s="201"/>
    </row>
    <row r="41" spans="2:11" ht="15.75" customHeight="1" x14ac:dyDescent="0.25"/>
    <row r="42" spans="2:11" x14ac:dyDescent="0.25">
      <c r="J42" s="201"/>
      <c r="K42" s="201"/>
    </row>
    <row r="43" spans="2:11" x14ac:dyDescent="0.25">
      <c r="J43" s="140"/>
      <c r="K43" s="140"/>
    </row>
    <row r="44" spans="2:11" ht="32.25" customHeight="1" x14ac:dyDescent="0.25"/>
  </sheetData>
  <mergeCells count="57">
    <mergeCell ref="J43:K43"/>
    <mergeCell ref="J37:K37"/>
    <mergeCell ref="J38:K38"/>
    <mergeCell ref="J39:K39"/>
    <mergeCell ref="B37:E37"/>
    <mergeCell ref="B38:E38"/>
    <mergeCell ref="F37:I37"/>
    <mergeCell ref="F38:I38"/>
    <mergeCell ref="J35:K35"/>
    <mergeCell ref="J36:K36"/>
    <mergeCell ref="J42:K42"/>
    <mergeCell ref="B36:E36"/>
    <mergeCell ref="F36:I36"/>
    <mergeCell ref="B32:G32"/>
    <mergeCell ref="H32:K32"/>
    <mergeCell ref="B33:G33"/>
    <mergeCell ref="H33:K33"/>
    <mergeCell ref="B34:G34"/>
    <mergeCell ref="H34:K34"/>
    <mergeCell ref="B29:G29"/>
    <mergeCell ref="H29:K29"/>
    <mergeCell ref="B30:G30"/>
    <mergeCell ref="H30:K30"/>
    <mergeCell ref="B31:G31"/>
    <mergeCell ref="H31:K31"/>
    <mergeCell ref="K15:K16"/>
    <mergeCell ref="B17:D17"/>
    <mergeCell ref="F17:G17"/>
    <mergeCell ref="H17:I17"/>
    <mergeCell ref="E27:J27"/>
    <mergeCell ref="B18:J18"/>
    <mergeCell ref="J15:J16"/>
    <mergeCell ref="F21:G21"/>
    <mergeCell ref="F22:G22"/>
    <mergeCell ref="F23:G23"/>
    <mergeCell ref="B14:C14"/>
    <mergeCell ref="F14:G14"/>
    <mergeCell ref="H14:I14"/>
    <mergeCell ref="B15:C16"/>
    <mergeCell ref="D15:D16"/>
    <mergeCell ref="E15:E16"/>
    <mergeCell ref="F15:G16"/>
    <mergeCell ref="H15:I16"/>
    <mergeCell ref="B11:G11"/>
    <mergeCell ref="H11:K11"/>
    <mergeCell ref="B12:G12"/>
    <mergeCell ref="H12:K12"/>
    <mergeCell ref="B13:C13"/>
    <mergeCell ref="F13:G13"/>
    <mergeCell ref="H13:I13"/>
    <mergeCell ref="E6:H6"/>
    <mergeCell ref="B1:D1"/>
    <mergeCell ref="E1:K1"/>
    <mergeCell ref="B2:D2"/>
    <mergeCell ref="E2:K2"/>
    <mergeCell ref="E4:F4"/>
    <mergeCell ref="C5:D5"/>
  </mergeCells>
  <pageMargins left="0.45" right="0" top="0.61458333333333304" bottom="0.75" header="0.3" footer="0.3"/>
  <pageSetup paperSize="9" scale="84" orientation="portrait" r:id="rId1"/>
  <headerFooter scaleWithDoc="0" alignWithMargins="0">
    <oddHeader>&amp;C&amp;G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39"/>
  <sheetViews>
    <sheetView view="pageBreakPreview" topLeftCell="A13" zoomScale="115" zoomScaleNormal="100" zoomScaleSheetLayoutView="115" workbookViewId="0">
      <selection activeCell="J21" sqref="J21"/>
    </sheetView>
  </sheetViews>
  <sheetFormatPr defaultRowHeight="15" x14ac:dyDescent="0.25"/>
  <cols>
    <col min="2" max="2" width="13.7109375" customWidth="1"/>
    <col min="3" max="3" width="17.140625" customWidth="1"/>
    <col min="4" max="4" width="14.28515625" customWidth="1"/>
    <col min="5" max="6" width="9.85546875" customWidth="1"/>
    <col min="7" max="7" width="13.42578125" customWidth="1"/>
    <col min="8" max="8" width="10.42578125" customWidth="1"/>
    <col min="9" max="9" width="15.7109375" customWidth="1"/>
    <col min="11" max="11" width="10" bestFit="1" customWidth="1"/>
  </cols>
  <sheetData>
    <row r="5" spans="1:15" x14ac:dyDescent="0.25">
      <c r="L5" s="132"/>
    </row>
    <row r="9" spans="1:15" ht="20.25" x14ac:dyDescent="0.3">
      <c r="A9" s="208" t="s">
        <v>0</v>
      </c>
      <c r="B9" s="208"/>
      <c r="C9" s="208"/>
      <c r="D9" s="208"/>
      <c r="E9" s="208"/>
      <c r="F9" s="208"/>
      <c r="G9" s="208"/>
      <c r="H9" s="208"/>
    </row>
    <row r="10" spans="1:15" ht="19.5" x14ac:dyDescent="0.25">
      <c r="A10" s="209" t="s">
        <v>1</v>
      </c>
      <c r="B10" s="209"/>
      <c r="C10" s="209"/>
      <c r="D10" s="209"/>
      <c r="E10" s="209"/>
      <c r="F10" s="209"/>
      <c r="G10" s="209"/>
      <c r="H10" s="209"/>
    </row>
    <row r="11" spans="1:15" ht="9.75" customHeight="1" x14ac:dyDescent="0.25">
      <c r="A11" s="1"/>
      <c r="B11" s="1"/>
      <c r="C11" s="1"/>
      <c r="D11" s="1"/>
      <c r="E11" s="1"/>
      <c r="F11" s="1"/>
      <c r="G11" s="1"/>
      <c r="H11" s="1"/>
    </row>
    <row r="12" spans="1:15" ht="16.899999999999999" customHeight="1" x14ac:dyDescent="0.25">
      <c r="A12" s="88">
        <v>1</v>
      </c>
      <c r="B12" s="13" t="s">
        <v>2</v>
      </c>
      <c r="C12" s="13"/>
      <c r="D12" s="13"/>
      <c r="E12" s="13" t="str">
        <f>'Thong so chung'!C12</f>
        <v>SG 10678</v>
      </c>
      <c r="F12" s="13"/>
      <c r="G12" s="2"/>
      <c r="H12" s="2"/>
    </row>
    <row r="13" spans="1:15" ht="16.899999999999999" customHeight="1" x14ac:dyDescent="0.25">
      <c r="A13" s="88">
        <v>2</v>
      </c>
      <c r="B13" s="87" t="s">
        <v>3</v>
      </c>
      <c r="C13" s="13"/>
      <c r="D13" s="13"/>
      <c r="E13" s="89" t="str">
        <f>'Thong so chung'!C14</f>
        <v>Cảng Nguyên Ngọc - TPHCM</v>
      </c>
      <c r="F13" s="13"/>
      <c r="G13" s="2"/>
      <c r="H13" s="2"/>
    </row>
    <row r="14" spans="1:15" ht="16.899999999999999" customHeight="1" x14ac:dyDescent="0.25">
      <c r="A14" s="88">
        <v>3</v>
      </c>
      <c r="B14" s="13" t="s">
        <v>4</v>
      </c>
      <c r="C14" s="13"/>
      <c r="D14" s="13"/>
      <c r="E14" s="214" t="str">
        <f>'Thong so chung'!C15</f>
        <v>PHAO THIỀNG LIỀNG</v>
      </c>
      <c r="F14" s="214"/>
      <c r="G14" s="2"/>
      <c r="H14" s="2"/>
    </row>
    <row r="15" spans="1:15" ht="16.899999999999999" customHeight="1" x14ac:dyDescent="0.4">
      <c r="A15" s="13">
        <v>4</v>
      </c>
      <c r="B15" s="87" t="s">
        <v>5</v>
      </c>
      <c r="C15" s="13"/>
      <c r="D15" s="89"/>
      <c r="E15" s="215" t="str">
        <f>'Thong so chung'!C16</f>
        <v>XIN XIANG SEA</v>
      </c>
      <c r="F15" s="2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ht="16.899999999999999" customHeight="1" x14ac:dyDescent="0.25">
      <c r="A16" s="88">
        <v>5</v>
      </c>
      <c r="B16" s="13" t="s">
        <v>6</v>
      </c>
      <c r="C16" s="13"/>
      <c r="D16" s="89"/>
      <c r="E16" s="88"/>
      <c r="F16" s="13"/>
      <c r="G16" s="2"/>
      <c r="H16" s="2"/>
    </row>
    <row r="17" spans="1:13" ht="16.899999999999999" customHeight="1" x14ac:dyDescent="0.25">
      <c r="A17" s="88">
        <v>6</v>
      </c>
      <c r="B17" s="13" t="s">
        <v>7</v>
      </c>
      <c r="C17" s="13"/>
      <c r="D17" s="89"/>
      <c r="E17" s="88"/>
      <c r="F17" s="13"/>
      <c r="G17" s="2"/>
      <c r="H17" s="2"/>
    </row>
    <row r="18" spans="1:13" ht="16.899999999999999" customHeight="1" thickBot="1" x14ac:dyDescent="0.3">
      <c r="A18" s="2"/>
      <c r="B18" s="2"/>
      <c r="C18" s="2"/>
      <c r="D18" s="2"/>
      <c r="E18" s="2"/>
      <c r="F18" s="2"/>
      <c r="G18" s="2"/>
      <c r="H18" s="2"/>
    </row>
    <row r="19" spans="1:13" ht="39.75" customHeight="1" x14ac:dyDescent="0.25">
      <c r="A19" s="210" t="s">
        <v>8</v>
      </c>
      <c r="B19" s="211"/>
      <c r="C19" s="211"/>
      <c r="D19" s="212" t="s">
        <v>9</v>
      </c>
      <c r="E19" s="211"/>
      <c r="F19" s="211"/>
      <c r="G19" s="212" t="s">
        <v>28</v>
      </c>
      <c r="H19" s="213"/>
      <c r="I19" t="s">
        <v>38</v>
      </c>
    </row>
    <row r="20" spans="1:13" ht="31.9" customHeight="1" x14ac:dyDescent="0.25">
      <c r="A20" s="204" t="s">
        <v>10</v>
      </c>
      <c r="B20" s="205"/>
      <c r="C20" s="121" t="s">
        <v>11</v>
      </c>
      <c r="D20" s="121" t="s">
        <v>12</v>
      </c>
      <c r="E20" s="206" t="s">
        <v>13</v>
      </c>
      <c r="F20" s="205"/>
      <c r="G20" s="206" t="s">
        <v>143</v>
      </c>
      <c r="H20" s="207"/>
    </row>
    <row r="21" spans="1:13" ht="16.899999999999999" customHeight="1" x14ac:dyDescent="0.25">
      <c r="A21" s="216" t="str">
        <f>'Thong so chung'!C4</f>
        <v>CÔNG TY EASTWOOD ENERGY</v>
      </c>
      <c r="B21" s="217"/>
      <c r="C21" s="220" t="str">
        <f>'Thong so chung'!C5</f>
        <v>VIÊN NÉN GỖ (SBP Compliant Biomass)</v>
      </c>
      <c r="D21" s="222">
        <f>'Thong so chung'!C24</f>
        <v>14</v>
      </c>
      <c r="E21" s="224" t="s">
        <v>38</v>
      </c>
      <c r="F21" s="224"/>
      <c r="G21" s="226">
        <f>'Thong so chung'!C8</f>
        <v>2226130</v>
      </c>
      <c r="H21" s="227"/>
    </row>
    <row r="22" spans="1:13" ht="27" customHeight="1" thickBot="1" x14ac:dyDescent="0.3">
      <c r="A22" s="218"/>
      <c r="B22" s="219"/>
      <c r="C22" s="221"/>
      <c r="D22" s="223"/>
      <c r="E22" s="225"/>
      <c r="F22" s="225"/>
      <c r="G22" s="228"/>
      <c r="H22" s="229"/>
    </row>
    <row r="23" spans="1:13" ht="16.899999999999999" customHeight="1" x14ac:dyDescent="0.25">
      <c r="A23" s="232" t="s">
        <v>32</v>
      </c>
      <c r="B23" s="232"/>
      <c r="C23" s="232"/>
      <c r="D23" s="232"/>
      <c r="E23" s="232"/>
      <c r="F23" s="232"/>
      <c r="G23" s="232"/>
      <c r="H23" s="232"/>
    </row>
    <row r="24" spans="1:13" ht="16.899999999999999" customHeight="1" x14ac:dyDescent="0.25">
      <c r="A24" s="2" t="s">
        <v>14</v>
      </c>
      <c r="B24" s="5"/>
      <c r="C24" s="2"/>
      <c r="D24" s="2"/>
      <c r="E24" s="2"/>
      <c r="F24" s="2"/>
      <c r="G24" s="2" t="s">
        <v>38</v>
      </c>
      <c r="H24" s="2"/>
      <c r="M24" t="s">
        <v>157</v>
      </c>
    </row>
    <row r="25" spans="1:13" ht="16.899999999999999" customHeight="1" x14ac:dyDescent="0.25">
      <c r="A25" s="6" t="s">
        <v>15</v>
      </c>
      <c r="B25" s="7"/>
      <c r="C25" s="7"/>
      <c r="D25" s="2"/>
      <c r="E25" s="7"/>
      <c r="F25" s="7"/>
      <c r="G25" s="7"/>
      <c r="H25" s="7"/>
    </row>
    <row r="26" spans="1:13" ht="16.899999999999999" customHeight="1" x14ac:dyDescent="0.25">
      <c r="A26" s="8"/>
      <c r="B26" s="7"/>
      <c r="C26" s="7"/>
      <c r="D26" s="2"/>
      <c r="E26" s="7"/>
      <c r="F26" s="7"/>
      <c r="G26" s="7"/>
      <c r="H26" s="7"/>
    </row>
    <row r="27" spans="1:13" ht="16.899999999999999" customHeight="1" x14ac:dyDescent="0.25">
      <c r="A27" s="2" t="s">
        <v>16</v>
      </c>
      <c r="B27" s="2"/>
      <c r="C27" s="2"/>
      <c r="D27" s="4"/>
      <c r="E27" s="3"/>
      <c r="F27" s="9"/>
      <c r="G27" s="10"/>
      <c r="H27" s="10"/>
    </row>
    <row r="28" spans="1:13" ht="16.899999999999999" customHeight="1" x14ac:dyDescent="0.25">
      <c r="A28" s="6"/>
      <c r="B28" s="2"/>
      <c r="C28" s="11"/>
      <c r="D28" s="2"/>
      <c r="E28" s="2"/>
      <c r="F28" s="2"/>
      <c r="G28" s="2"/>
      <c r="H28" s="2"/>
    </row>
    <row r="29" spans="1:13" ht="16.899999999999999" customHeight="1" x14ac:dyDescent="0.25">
      <c r="A29" s="5" t="s">
        <v>17</v>
      </c>
      <c r="B29" s="5"/>
      <c r="C29" s="5"/>
      <c r="D29" s="5"/>
      <c r="E29" s="5"/>
      <c r="F29" s="5"/>
      <c r="G29" s="5"/>
      <c r="H29" s="5"/>
    </row>
    <row r="30" spans="1:13" ht="16.899999999999999" customHeight="1" x14ac:dyDescent="0.25">
      <c r="A30" s="12" t="s">
        <v>18</v>
      </c>
      <c r="B30" s="13"/>
      <c r="C30" s="13"/>
      <c r="D30" s="13"/>
      <c r="E30" s="13"/>
      <c r="F30" s="13"/>
      <c r="G30" s="13"/>
      <c r="H30" s="13"/>
    </row>
    <row r="31" spans="1:13" ht="16.899999999999999" customHeight="1" x14ac:dyDescent="0.25">
      <c r="A31" s="14" t="s">
        <v>19</v>
      </c>
      <c r="B31" s="13"/>
      <c r="C31" s="13"/>
      <c r="D31" s="13"/>
      <c r="E31" s="13"/>
      <c r="F31" s="13"/>
      <c r="G31" s="13"/>
      <c r="H31" s="13"/>
    </row>
    <row r="32" spans="1:13" ht="16.899999999999999" customHeight="1" x14ac:dyDescent="0.25">
      <c r="A32" s="12" t="s">
        <v>20</v>
      </c>
      <c r="B32" s="13"/>
      <c r="C32" s="13"/>
      <c r="D32" s="13"/>
      <c r="E32" s="13"/>
      <c r="F32" s="13"/>
      <c r="G32" s="13"/>
      <c r="H32" s="13"/>
    </row>
    <row r="33" spans="1:8" ht="16.899999999999999" customHeight="1" x14ac:dyDescent="0.25">
      <c r="A33" s="14" t="s">
        <v>21</v>
      </c>
      <c r="B33" s="13"/>
      <c r="C33" s="13"/>
      <c r="D33" s="13"/>
      <c r="E33" s="13"/>
      <c r="F33" s="13"/>
      <c r="G33" s="13"/>
      <c r="H33" s="13"/>
    </row>
    <row r="34" spans="1:8" ht="16.899999999999999" customHeight="1" x14ac:dyDescent="0.25">
      <c r="A34" s="12" t="s">
        <v>22</v>
      </c>
      <c r="B34" s="13"/>
      <c r="C34" s="13"/>
      <c r="D34" s="13"/>
      <c r="E34" s="13"/>
      <c r="F34" s="13"/>
      <c r="G34" s="13"/>
      <c r="H34" s="13"/>
    </row>
    <row r="35" spans="1:8" ht="16.899999999999999" customHeight="1" x14ac:dyDescent="0.25">
      <c r="A35" s="14" t="s">
        <v>23</v>
      </c>
      <c r="B35" s="14"/>
      <c r="C35" s="14"/>
      <c r="D35" s="14"/>
      <c r="E35" s="14"/>
      <c r="F35" s="14"/>
      <c r="G35" s="13"/>
      <c r="H35" s="13"/>
    </row>
    <row r="36" spans="1:8" ht="16.899999999999999" customHeight="1" x14ac:dyDescent="0.25">
      <c r="A36" s="14"/>
      <c r="B36" s="14"/>
      <c r="C36" s="14"/>
      <c r="D36" s="14"/>
      <c r="E36" s="14"/>
      <c r="F36" s="14"/>
      <c r="G36" s="13"/>
      <c r="H36" s="13"/>
    </row>
    <row r="37" spans="1:8" ht="16.899999999999999" customHeight="1" x14ac:dyDescent="0.25">
      <c r="A37" s="230" t="s">
        <v>24</v>
      </c>
      <c r="B37" s="230"/>
      <c r="C37" s="230"/>
      <c r="D37" s="230" t="s">
        <v>30</v>
      </c>
      <c r="E37" s="230"/>
      <c r="F37" s="230" t="s">
        <v>29</v>
      </c>
      <c r="G37" s="230"/>
      <c r="H37" s="230"/>
    </row>
    <row r="38" spans="1:8" ht="16.899999999999999" customHeight="1" x14ac:dyDescent="0.25">
      <c r="A38" s="233" t="s">
        <v>25</v>
      </c>
      <c r="B38" s="233"/>
      <c r="C38" s="233"/>
      <c r="D38" s="234" t="s">
        <v>31</v>
      </c>
      <c r="E38" s="234"/>
      <c r="F38" s="233" t="s">
        <v>26</v>
      </c>
      <c r="G38" s="233"/>
      <c r="H38" s="233"/>
    </row>
    <row r="39" spans="1:8" ht="16.899999999999999" customHeight="1" x14ac:dyDescent="0.25">
      <c r="A39" s="230" t="s">
        <v>27</v>
      </c>
      <c r="B39" s="230"/>
      <c r="C39" s="230"/>
      <c r="D39" s="230" t="s">
        <v>27</v>
      </c>
      <c r="E39" s="230"/>
      <c r="F39" s="231" t="s">
        <v>27</v>
      </c>
      <c r="G39" s="231"/>
      <c r="H39" s="231"/>
    </row>
  </sheetData>
  <mergeCells count="25">
    <mergeCell ref="A39:C39"/>
    <mergeCell ref="F39:H39"/>
    <mergeCell ref="D37:E37"/>
    <mergeCell ref="A23:H23"/>
    <mergeCell ref="A37:C37"/>
    <mergeCell ref="F37:H37"/>
    <mergeCell ref="A38:C38"/>
    <mergeCell ref="F38:H38"/>
    <mergeCell ref="D38:E38"/>
    <mergeCell ref="D39:E39"/>
    <mergeCell ref="A21:B22"/>
    <mergeCell ref="C21:C22"/>
    <mergeCell ref="D21:D22"/>
    <mergeCell ref="E21:F22"/>
    <mergeCell ref="G21:H22"/>
    <mergeCell ref="A20:B20"/>
    <mergeCell ref="E20:F20"/>
    <mergeCell ref="G20:H20"/>
    <mergeCell ref="A9:H9"/>
    <mergeCell ref="A10:H10"/>
    <mergeCell ref="A19:C19"/>
    <mergeCell ref="D19:F19"/>
    <mergeCell ref="G19:H19"/>
    <mergeCell ref="E14:F14"/>
    <mergeCell ref="E15:F15"/>
  </mergeCells>
  <pageMargins left="0.23622047244094491" right="0.23622047244094491" top="0.35433070866141736" bottom="1.3385826771653544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4:O39"/>
  <sheetViews>
    <sheetView topLeftCell="A16" zoomScaleNormal="100" workbookViewId="0">
      <selection activeCell="I10" sqref="I10"/>
    </sheetView>
  </sheetViews>
  <sheetFormatPr defaultColWidth="8.85546875" defaultRowHeight="15.75" x14ac:dyDescent="0.25"/>
  <cols>
    <col min="1" max="1" width="6.85546875" style="21" customWidth="1"/>
    <col min="2" max="2" width="10.5703125" style="21" customWidth="1"/>
    <col min="3" max="3" width="25.5703125" style="21" customWidth="1"/>
    <col min="4" max="4" width="10.5703125" style="21" customWidth="1"/>
    <col min="5" max="5" width="25.5703125" style="21" customWidth="1"/>
    <col min="6" max="6" width="10.5703125" style="21" customWidth="1"/>
    <col min="7" max="7" width="31.85546875" style="21" customWidth="1"/>
    <col min="8" max="10" width="15.7109375" style="21" customWidth="1"/>
    <col min="11" max="16384" width="8.85546875" style="21"/>
  </cols>
  <sheetData>
    <row r="4" spans="2:15" s="17" customFormat="1" ht="23.25" x14ac:dyDescent="0.35">
      <c r="B4" s="141" t="s">
        <v>126</v>
      </c>
      <c r="C4" s="141"/>
      <c r="D4" s="141"/>
      <c r="E4" s="141"/>
      <c r="F4" s="141"/>
      <c r="G4" s="141"/>
      <c r="H4" s="16"/>
      <c r="I4" s="16"/>
    </row>
    <row r="5" spans="2:15" s="17" customFormat="1" ht="19.899999999999999" customHeight="1" x14ac:dyDescent="0.35">
      <c r="B5" s="142" t="s">
        <v>127</v>
      </c>
      <c r="C5" s="142"/>
      <c r="D5" s="142"/>
      <c r="E5" s="142"/>
      <c r="F5" s="142"/>
      <c r="G5" s="142"/>
      <c r="H5" s="18"/>
      <c r="I5" s="18"/>
    </row>
    <row r="6" spans="2:15" ht="19.899999999999999" customHeight="1" x14ac:dyDescent="0.25">
      <c r="B6" s="23" t="s">
        <v>82</v>
      </c>
      <c r="C6" s="23"/>
      <c r="D6" s="23"/>
      <c r="E6" s="98" t="str">
        <f>'Thong so chung'!C12</f>
        <v>SG 10678</v>
      </c>
      <c r="F6" s="23"/>
      <c r="G6" s="23"/>
      <c r="H6" s="20"/>
      <c r="I6" s="20"/>
    </row>
    <row r="7" spans="2:15" ht="19.899999999999999" customHeight="1" x14ac:dyDescent="0.25">
      <c r="B7" s="24" t="s">
        <v>83</v>
      </c>
      <c r="C7" s="24"/>
      <c r="D7" s="23"/>
      <c r="E7" s="23" t="str">
        <f>'Thong so chung'!C14</f>
        <v>Cảng Nguyên Ngọc - TPHCM</v>
      </c>
      <c r="F7" s="23"/>
      <c r="G7" s="23"/>
      <c r="H7" s="20"/>
      <c r="I7" s="20"/>
    </row>
    <row r="8" spans="2:15" ht="19.899999999999999" customHeight="1" x14ac:dyDescent="0.25">
      <c r="B8" s="23" t="s">
        <v>84</v>
      </c>
      <c r="C8" s="23"/>
      <c r="D8" s="23"/>
      <c r="E8" s="23" t="str">
        <f>'Thong so chung'!C15</f>
        <v>PHAO THIỀNG LIỀNG</v>
      </c>
      <c r="F8" s="23"/>
      <c r="G8" s="23"/>
      <c r="H8" s="20"/>
      <c r="I8" s="20"/>
    </row>
    <row r="9" spans="2:15" ht="19.899999999999999" customHeight="1" x14ac:dyDescent="0.4">
      <c r="B9" s="23" t="s">
        <v>85</v>
      </c>
      <c r="C9" s="23"/>
      <c r="D9" s="23"/>
      <c r="E9" s="97" t="str">
        <f>'Thong so chung'!C16</f>
        <v>XIN XIANG SEA</v>
      </c>
      <c r="F9" s="97"/>
      <c r="G9" s="97"/>
      <c r="H9" s="15"/>
      <c r="I9" s="15"/>
      <c r="J9" s="15"/>
      <c r="K9" s="15"/>
      <c r="L9" s="15"/>
      <c r="M9" s="15"/>
      <c r="N9" s="15"/>
      <c r="O9" s="15"/>
    </row>
    <row r="10" spans="2:15" ht="19.899999999999999" customHeight="1" x14ac:dyDescent="0.25">
      <c r="B10" s="23" t="s">
        <v>128</v>
      </c>
      <c r="C10" s="23"/>
      <c r="D10" s="23"/>
      <c r="E10" s="125">
        <f>'Thong so chung'!C8</f>
        <v>2226130</v>
      </c>
      <c r="F10" s="93"/>
      <c r="G10" s="93"/>
      <c r="H10" s="20"/>
      <c r="I10" s="20"/>
    </row>
    <row r="11" spans="2:15" ht="19.899999999999999" customHeight="1" x14ac:dyDescent="0.25">
      <c r="B11" s="23" t="s">
        <v>129</v>
      </c>
      <c r="C11" s="23"/>
      <c r="D11" s="23"/>
      <c r="E11" s="91" t="str">
        <f>'Thong so chung'!C21</f>
        <v>01/06/2026</v>
      </c>
      <c r="F11" s="91"/>
      <c r="G11" s="91"/>
      <c r="H11" s="20"/>
      <c r="I11" s="20"/>
    </row>
    <row r="12" spans="2:15" ht="19.899999999999999" customHeight="1" x14ac:dyDescent="0.25">
      <c r="B12" s="23" t="s">
        <v>130</v>
      </c>
      <c r="C12" s="23"/>
      <c r="D12" s="23"/>
      <c r="E12" s="92">
        <f>+'Thong so chung'!C24</f>
        <v>14</v>
      </c>
      <c r="F12" s="92"/>
      <c r="G12" s="92"/>
      <c r="H12" s="20"/>
      <c r="I12" s="20"/>
    </row>
    <row r="13" spans="2:15" ht="8.65" customHeight="1" x14ac:dyDescent="0.25">
      <c r="B13" s="20"/>
      <c r="C13" s="20"/>
      <c r="D13" s="20"/>
      <c r="E13" s="20" t="s">
        <v>89</v>
      </c>
      <c r="F13" s="20"/>
      <c r="G13" s="20"/>
      <c r="H13" s="20"/>
      <c r="I13" s="20"/>
    </row>
    <row r="14" spans="2:15" ht="33.6" customHeight="1" x14ac:dyDescent="0.25">
      <c r="B14" s="123" t="s">
        <v>131</v>
      </c>
      <c r="C14" s="124" t="s">
        <v>132</v>
      </c>
      <c r="D14" s="123" t="s">
        <v>131</v>
      </c>
      <c r="E14" s="124" t="s">
        <v>132</v>
      </c>
      <c r="F14" s="123" t="s">
        <v>131</v>
      </c>
      <c r="G14" s="124" t="s">
        <v>132</v>
      </c>
      <c r="H14" s="26"/>
      <c r="I14" s="26"/>
    </row>
    <row r="15" spans="2:15" ht="16.899999999999999" customHeight="1" x14ac:dyDescent="0.25">
      <c r="B15" s="95">
        <v>1</v>
      </c>
      <c r="C15" s="82">
        <v>2604321</v>
      </c>
      <c r="D15" s="95">
        <v>8</v>
      </c>
      <c r="E15" s="96">
        <v>2604323</v>
      </c>
      <c r="F15" s="95">
        <v>15</v>
      </c>
      <c r="G15" s="95"/>
      <c r="H15" s="20"/>
      <c r="I15" s="20"/>
    </row>
    <row r="16" spans="2:15" ht="16.899999999999999" customHeight="1" x14ac:dyDescent="0.25">
      <c r="B16" s="95">
        <v>2</v>
      </c>
      <c r="C16" s="82">
        <v>2604326</v>
      </c>
      <c r="D16" s="95">
        <v>9</v>
      </c>
      <c r="E16" s="96">
        <v>2604327</v>
      </c>
      <c r="F16" s="95">
        <v>16</v>
      </c>
      <c r="G16" s="96"/>
      <c r="H16" s="20"/>
      <c r="I16" s="20"/>
    </row>
    <row r="17" spans="2:9" ht="16.899999999999999" customHeight="1" x14ac:dyDescent="0.25">
      <c r="B17" s="95">
        <v>3</v>
      </c>
      <c r="C17" s="82">
        <v>2604324</v>
      </c>
      <c r="D17" s="95">
        <v>10</v>
      </c>
      <c r="E17" s="96">
        <v>2604330</v>
      </c>
      <c r="F17" s="95">
        <v>17</v>
      </c>
      <c r="G17" s="96"/>
      <c r="H17" s="20"/>
      <c r="I17" s="20"/>
    </row>
    <row r="18" spans="2:9" ht="16.899999999999999" customHeight="1" x14ac:dyDescent="0.25">
      <c r="B18" s="95">
        <v>4</v>
      </c>
      <c r="C18" s="82">
        <v>2604329</v>
      </c>
      <c r="D18" s="95">
        <v>11</v>
      </c>
      <c r="E18" s="96">
        <v>2604331</v>
      </c>
      <c r="F18" s="95">
        <v>18</v>
      </c>
      <c r="G18" s="96"/>
      <c r="H18" s="20"/>
      <c r="I18" s="20"/>
    </row>
    <row r="19" spans="2:9" ht="16.899999999999999" customHeight="1" x14ac:dyDescent="0.25">
      <c r="B19" s="95">
        <v>5</v>
      </c>
      <c r="C19" s="82">
        <v>2604328</v>
      </c>
      <c r="D19" s="95">
        <v>12</v>
      </c>
      <c r="E19" s="96">
        <v>2604332</v>
      </c>
      <c r="F19" s="95">
        <v>19</v>
      </c>
      <c r="G19" s="96"/>
      <c r="H19" s="20"/>
      <c r="I19" s="20"/>
    </row>
    <row r="20" spans="2:9" ht="16.899999999999999" customHeight="1" x14ac:dyDescent="0.25">
      <c r="B20" s="95">
        <v>6</v>
      </c>
      <c r="C20" s="82">
        <v>2604322</v>
      </c>
      <c r="D20" s="95">
        <v>13</v>
      </c>
      <c r="E20" s="94">
        <v>2604335</v>
      </c>
      <c r="F20" s="95">
        <v>20</v>
      </c>
      <c r="G20" s="96"/>
      <c r="H20" s="20"/>
      <c r="I20" s="20"/>
    </row>
    <row r="21" spans="2:9" ht="16.899999999999999" customHeight="1" x14ac:dyDescent="0.25">
      <c r="B21" s="95">
        <v>7</v>
      </c>
      <c r="C21" s="95">
        <v>2604325</v>
      </c>
      <c r="D21" s="95">
        <v>14</v>
      </c>
      <c r="E21" s="94">
        <v>2604340</v>
      </c>
      <c r="F21" s="95">
        <v>21</v>
      </c>
      <c r="G21" s="94"/>
      <c r="H21" s="27"/>
      <c r="I21" s="27"/>
    </row>
    <row r="22" spans="2:9" ht="16.899999999999999" customHeight="1" x14ac:dyDescent="0.25">
      <c r="B22" s="26" t="s">
        <v>133</v>
      </c>
      <c r="C22" s="26"/>
      <c r="D22" s="26"/>
      <c r="E22" s="26"/>
      <c r="F22" s="26"/>
      <c r="G22" s="26"/>
      <c r="H22" s="28"/>
      <c r="I22" s="28"/>
    </row>
    <row r="23" spans="2:9" ht="16.899999999999999" customHeight="1" x14ac:dyDescent="0.25">
      <c r="B23" s="29"/>
      <c r="C23" s="27"/>
      <c r="D23" s="27"/>
      <c r="E23" s="20"/>
      <c r="F23" s="20"/>
      <c r="G23" s="20"/>
      <c r="H23" s="22"/>
      <c r="I23" s="22"/>
    </row>
    <row r="24" spans="2:9" ht="16.899999999999999" customHeight="1" x14ac:dyDescent="0.25">
      <c r="B24" s="20"/>
      <c r="C24" s="20"/>
      <c r="D24" s="20"/>
      <c r="E24" s="25"/>
      <c r="F24" s="25"/>
      <c r="G24" s="25"/>
      <c r="H24" s="30"/>
      <c r="I24" s="30"/>
    </row>
    <row r="25" spans="2:9" ht="16.899999999999999" customHeight="1" x14ac:dyDescent="0.25">
      <c r="B25" s="31"/>
      <c r="C25" s="20"/>
      <c r="D25" s="46"/>
      <c r="E25" s="20"/>
      <c r="F25" s="20"/>
      <c r="G25" s="20"/>
      <c r="H25" s="23"/>
      <c r="I25" s="23"/>
    </row>
    <row r="26" spans="2:9" ht="16.899999999999999" customHeight="1" x14ac:dyDescent="0.25">
      <c r="B26" s="25"/>
      <c r="C26" s="20"/>
      <c r="D26" s="30"/>
      <c r="E26" s="20"/>
      <c r="F26" s="20"/>
      <c r="G26" s="20"/>
      <c r="H26" s="23"/>
      <c r="I26" s="23"/>
    </row>
    <row r="27" spans="2:9" ht="16.899999999999999" customHeight="1" x14ac:dyDescent="0.25">
      <c r="B27" s="25"/>
      <c r="C27" s="20"/>
      <c r="D27" s="30"/>
      <c r="E27" s="22"/>
      <c r="F27" s="22"/>
      <c r="G27" s="22"/>
      <c r="H27" s="23"/>
      <c r="I27" s="23"/>
    </row>
    <row r="28" spans="2:9" ht="16.899999999999999" customHeight="1" x14ac:dyDescent="0.25">
      <c r="B28" s="32"/>
      <c r="C28" s="23"/>
      <c r="D28" s="23"/>
      <c r="E28" s="23"/>
      <c r="F28" s="23"/>
      <c r="G28" s="23"/>
      <c r="H28" s="23"/>
      <c r="I28" s="23"/>
    </row>
    <row r="29" spans="2:9" ht="16.899999999999999" customHeight="1" x14ac:dyDescent="0.25">
      <c r="B29" s="140" t="s">
        <v>30</v>
      </c>
      <c r="C29" s="140"/>
      <c r="D29" s="230" t="s">
        <v>29</v>
      </c>
      <c r="E29" s="230"/>
      <c r="F29" s="140" t="s">
        <v>134</v>
      </c>
      <c r="G29" s="140"/>
      <c r="H29" s="23"/>
      <c r="I29" s="23"/>
    </row>
    <row r="30" spans="2:9" ht="16.899999999999999" customHeight="1" x14ac:dyDescent="0.25">
      <c r="B30" s="149" t="s">
        <v>31</v>
      </c>
      <c r="C30" s="149"/>
      <c r="D30" s="233" t="s">
        <v>26</v>
      </c>
      <c r="E30" s="233"/>
      <c r="F30" s="149" t="s">
        <v>135</v>
      </c>
      <c r="G30" s="149"/>
    </row>
    <row r="31" spans="2:9" ht="16.899999999999999" customHeight="1" x14ac:dyDescent="0.25">
      <c r="B31" s="140" t="s">
        <v>27</v>
      </c>
      <c r="C31" s="140"/>
      <c r="D31" s="231" t="s">
        <v>27</v>
      </c>
      <c r="E31" s="231"/>
      <c r="F31" s="150" t="s">
        <v>27</v>
      </c>
      <c r="G31" s="150"/>
    </row>
    <row r="32" spans="2:9" ht="16.899999999999999" customHeight="1" x14ac:dyDescent="0.25">
      <c r="C32" s="149"/>
      <c r="D32" s="149"/>
      <c r="E32" s="30"/>
      <c r="F32" s="37"/>
      <c r="G32" s="30"/>
    </row>
    <row r="33" spans="3:7" ht="16.5" customHeight="1" x14ac:dyDescent="0.25">
      <c r="C33" s="140"/>
      <c r="D33" s="140"/>
      <c r="E33" s="30"/>
      <c r="F33" s="38"/>
      <c r="G33" s="30"/>
    </row>
    <row r="34" spans="3:7" ht="12" hidden="1" customHeight="1" x14ac:dyDescent="0.25"/>
    <row r="35" spans="3:7" ht="4.5" hidden="1" customHeight="1" x14ac:dyDescent="0.25"/>
    <row r="36" spans="3:7" ht="13.5" hidden="1" customHeight="1" x14ac:dyDescent="0.25"/>
    <row r="37" spans="3:7" ht="90.75" customHeight="1" x14ac:dyDescent="0.25">
      <c r="C37" s="151"/>
      <c r="D37" s="151"/>
    </row>
    <row r="39" spans="3:7" x14ac:dyDescent="0.25">
      <c r="C39" s="151"/>
      <c r="D39" s="151"/>
      <c r="E39" s="40"/>
      <c r="F39" s="40"/>
      <c r="G39" s="40"/>
    </row>
  </sheetData>
  <mergeCells count="15">
    <mergeCell ref="B4:G4"/>
    <mergeCell ref="B5:G5"/>
    <mergeCell ref="C39:D39"/>
    <mergeCell ref="C32:D32"/>
    <mergeCell ref="C33:D33"/>
    <mergeCell ref="C37:D37"/>
    <mergeCell ref="B29:C29"/>
    <mergeCell ref="B30:C30"/>
    <mergeCell ref="B31:C31"/>
    <mergeCell ref="D29:E29"/>
    <mergeCell ref="D30:E30"/>
    <mergeCell ref="D31:E31"/>
    <mergeCell ref="F29:G29"/>
    <mergeCell ref="F30:G30"/>
    <mergeCell ref="F31:G31"/>
  </mergeCells>
  <pageMargins left="0.25" right="0.25" top="0.75" bottom="0.75" header="0.3" footer="0.3"/>
  <pageSetup paperSize="9" scale="86" orientation="portrait" r:id="rId1"/>
  <headerFooter>
    <oddHeader>&amp;C&amp;G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Thong so chung</vt:lpstr>
      <vt:lpstr>BB Kiem tra ham</vt:lpstr>
      <vt:lpstr>BB Ket toan</vt:lpstr>
      <vt:lpstr>BB Giao nhan</vt:lpstr>
      <vt:lpstr>Seal sà lan</vt:lpstr>
      <vt:lpstr>'BB Giao nhan'!Print_Area</vt:lpstr>
      <vt:lpstr>'BB Ket toan'!Print_Area</vt:lpstr>
      <vt:lpstr>'BB Kiem tra ham'!Print_Area</vt:lpstr>
      <vt:lpstr>'Seal sà lan'!Print_Area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TVPL</dc:creator>
  <cp:lastModifiedBy>Windows</cp:lastModifiedBy>
  <cp:lastPrinted>2026-05-31T22:14:38Z</cp:lastPrinted>
  <dcterms:created xsi:type="dcterms:W3CDTF">2023-10-15T09:41:53Z</dcterms:created>
  <dcterms:modified xsi:type="dcterms:W3CDTF">2026-06-03T18:43:43Z</dcterms:modified>
</cp:coreProperties>
</file>